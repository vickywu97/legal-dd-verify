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总表" sheetId="1" state="visible" r:id="rId1"/>
    <sheet xmlns:r="http://schemas.openxmlformats.org/officeDocument/2006/relationships" name="证据索引" sheetId="2" state="visible" r:id="rId2"/>
    <sheet xmlns:r="http://schemas.openxmlformats.org/officeDocument/2006/relationships" name="跨文件矛盾" sheetId="3" state="visible" r:id="rId3"/>
    <sheet xmlns:r="http://schemas.openxmlformats.org/officeDocument/2006/relationships" name="统计摘要" sheetId="4" state="visible" r:id="rId4"/>
  </sheets>
  <definedNames>
    <definedName name="_xlnm._FilterDatabase" localSheetId="0" hidden="1">'核验总表'!$A$1:$L$53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40" customWidth="1" min="3" max="3"/>
    <col width="9" customWidth="1" min="4" max="4"/>
    <col width="46" customWidth="1" min="5" max="5"/>
    <col width="46" customWidth="1" min="6" max="6"/>
    <col width="30" customWidth="1" min="7" max="7"/>
    <col width="9" customWidth="1" min="8" max="8"/>
    <col width="11" customWidth="1" min="9" max="9"/>
    <col width="40" customWidth="1" min="10" max="10"/>
    <col width="11" customWidth="1" min="11" max="11"/>
    <col width="14" customWidth="1" min="12" max="12"/>
  </cols>
  <sheetData>
    <row r="1">
      <c r="A1" s="1" t="inlineStr">
        <is>
          <t>清单编号</t>
        </is>
      </c>
      <c r="B1" s="1" t="inlineStr">
        <is>
          <t>领域</t>
        </is>
      </c>
      <c r="C1" s="1" t="inlineStr">
        <is>
          <t>清单要求</t>
        </is>
      </c>
      <c r="D1" s="1" t="inlineStr">
        <is>
          <t>核验状态</t>
        </is>
      </c>
      <c r="E1" s="1" t="inlineStr">
        <is>
          <t>事实摘要</t>
        </is>
      </c>
      <c r="F1" s="1" t="inlineStr">
        <is>
          <t>证据定位</t>
        </is>
      </c>
      <c r="G1" s="1" t="inlineStr">
        <is>
          <t>资料缺口</t>
        </is>
      </c>
      <c r="H1" s="1" t="inlineStr">
        <is>
          <t>风险等级</t>
        </is>
      </c>
      <c r="I1" s="1" t="inlineStr">
        <is>
          <t>处置类型</t>
        </is>
      </c>
      <c r="J1" s="1" t="inlineStr">
        <is>
          <t>反馈意见</t>
        </is>
      </c>
      <c r="K1" s="1" t="inlineStr">
        <is>
          <t>是否需人工复核</t>
        </is>
      </c>
      <c r="L1" s="1" t="inlineStr">
        <is>
          <t>关联反馈编号</t>
        </is>
      </c>
    </row>
    <row r="2">
      <c r="A2" s="2" t="inlineStr">
        <is>
          <t>CORP-01</t>
        </is>
      </c>
      <c r="B2" s="2" t="inlineStr">
        <is>
          <t>主体资格</t>
        </is>
      </c>
      <c r="C2" s="3" t="inlineStr">
        <is>
          <t>请提交目标公司及其分支、控股或参股企业的现行营业执照、登记事项报告或同等主体资格文件。</t>
        </is>
      </c>
      <c r="D2" s="2" t="inlineStr">
        <is>
          <t>已满足</t>
        </is>
      </c>
      <c r="E2" s="3" t="inlineStr">
        <is>
          <t>已提供相关资料（01.1 ）。</t>
        </is>
      </c>
      <c r="F2" s="3" t="inlineStr">
        <is>
          <t>01_主体资格及历史沿革__01.1_登记事项及关键变更档案_20260710｜正文</t>
        </is>
      </c>
      <c r="G2" s="3" t="inlineStr">
        <is>
          <t>按清单要求补充其余子项（如适用）。</t>
        </is>
      </c>
      <c r="H2" s="2" t="inlineStr">
        <is>
          <t>LOW</t>
        </is>
      </c>
      <c r="I2" s="2" t="inlineStr">
        <is>
          <t>RFI</t>
        </is>
      </c>
      <c r="J2" s="3" t="inlineStr">
        <is>
          <t>无。</t>
        </is>
      </c>
      <c r="K2" s="2" t="inlineStr">
        <is>
          <t>否</t>
        </is>
      </c>
      <c r="L2" s="2" t="inlineStr"/>
    </row>
    <row r="3">
      <c r="A3" s="2" t="inlineStr">
        <is>
          <t>CORP-02</t>
        </is>
      </c>
      <c r="B3" s="2" t="inlineStr">
        <is>
          <t>主体资格</t>
        </is>
      </c>
      <c r="C3" s="3" t="inlineStr">
        <is>
          <t>请提交目标公司自设立以来全套工商登记档案，涵盖设立、名称、住所、注册资本、股东及董监高历次变更。</t>
        </is>
      </c>
      <c r="D3" s="2" t="inlineStr">
        <is>
          <t>已满足</t>
        </is>
      </c>
      <c r="E3" s="3" t="inlineStr">
        <is>
          <t>已提供相关资料（01.1 ）。</t>
        </is>
      </c>
      <c r="F3" s="3" t="inlineStr">
        <is>
          <t>01_主体资格及历史沿革__01.1_登记事项及关键变更档案_20260710｜正文</t>
        </is>
      </c>
      <c r="G3" s="3" t="inlineStr">
        <is>
          <t>按清单要求补充其余子项（如适用）。</t>
        </is>
      </c>
      <c r="H3" s="2" t="inlineStr">
        <is>
          <t>LOW</t>
        </is>
      </c>
      <c r="I3" s="2" t="inlineStr">
        <is>
          <t>RFI</t>
        </is>
      </c>
      <c r="J3" s="3" t="inlineStr">
        <is>
          <t>无。</t>
        </is>
      </c>
      <c r="K3" s="2" t="inlineStr">
        <is>
          <t>否</t>
        </is>
      </c>
      <c r="L3" s="2" t="inlineStr"/>
    </row>
    <row r="4">
      <c r="A4" s="2" t="inlineStr">
        <is>
          <t>CORP-03</t>
        </is>
      </c>
      <c r="B4" s="2" t="inlineStr">
        <is>
          <t>主体资格</t>
        </is>
      </c>
      <c r="C4" s="3" t="inlineStr">
        <is>
          <t>请提交现行有效的公司章程及自设立以来的章程、修正案或重述文本。</t>
        </is>
      </c>
      <c r="D4" s="2" t="inlineStr">
        <is>
          <t>已满足</t>
        </is>
      </c>
      <c r="E4" s="3" t="inlineStr">
        <is>
          <t>已提供相关资料（01.2、01.1 ）。</t>
        </is>
      </c>
      <c r="F4" s="3" t="inlineStr">
        <is>
          <t>01_主体资格及历史沿革__01.1_登记事项及关键变更档案_20260710｜正文</t>
        </is>
      </c>
      <c r="G4" s="3" t="inlineStr">
        <is>
          <t>按清单要求补充其余子项（如适用）。；与CT-01矛盾相关（详见跨文件矛盾）</t>
        </is>
      </c>
      <c r="H4" s="2" t="inlineStr">
        <is>
          <t>LOW</t>
        </is>
      </c>
      <c r="I4" s="2" t="inlineStr">
        <is>
          <t>RFI</t>
        </is>
      </c>
      <c r="J4" s="3" t="inlineStr">
        <is>
          <t>无。</t>
        </is>
      </c>
      <c r="K4" s="2" t="inlineStr">
        <is>
          <t>否</t>
        </is>
      </c>
      <c r="L4" s="2" t="inlineStr"/>
    </row>
    <row r="5">
      <c r="A5" s="2" t="inlineStr">
        <is>
          <t>CORP-04</t>
        </is>
      </c>
      <c r="B5" s="2" t="inlineStr">
        <is>
          <t>主体资格</t>
        </is>
      </c>
      <c r="C5" s="3" t="inlineStr">
        <is>
          <t>请提供集团组织结构图，列示关联公司、分支机构、持股比例、实际控制关系与主营业务。</t>
        </is>
      </c>
      <c r="D5" s="2" t="inlineStr">
        <is>
          <t>已满足</t>
        </is>
      </c>
      <c r="E5" s="3" t="inlineStr">
        <is>
          <t>已提供相关资料（01.3 ）。</t>
        </is>
      </c>
      <c r="F5" s="3" t="inlineStr">
        <is>
          <t>01_主体资格及历史沿革__01.1_登记事项及关键变更档案_20260710｜正文</t>
        </is>
      </c>
      <c r="G5" s="3" t="inlineStr">
        <is>
          <t>按清单要求补充其余子项（如适用）。</t>
        </is>
      </c>
      <c r="H5" s="2" t="inlineStr">
        <is>
          <t>LOW</t>
        </is>
      </c>
      <c r="I5" s="2" t="inlineStr">
        <is>
          <t>RFI</t>
        </is>
      </c>
      <c r="J5" s="3" t="inlineStr">
        <is>
          <t>无。</t>
        </is>
      </c>
      <c r="K5" s="2" t="inlineStr">
        <is>
          <t>否</t>
        </is>
      </c>
      <c r="L5" s="2" t="inlineStr"/>
    </row>
    <row r="6">
      <c r="A6" s="2" t="inlineStr">
        <is>
          <t>CORP-05</t>
        </is>
      </c>
      <c r="B6" s="2" t="inlineStr">
        <is>
          <t>主体资格</t>
        </is>
      </c>
      <c r="C6" s="3" t="inlineStr">
        <is>
          <t>请列示目标公司对外投资、合伙份额、联营或合营安排及相关协议。</t>
        </is>
      </c>
      <c r="D6" s="2" t="inlineStr">
        <is>
          <t>已满足</t>
        </is>
      </c>
      <c r="E6" s="3" t="inlineStr">
        <is>
          <t>已提供相关资料（01.3 ）。</t>
        </is>
      </c>
      <c r="F6" s="3" t="inlineStr">
        <is>
          <t>01_主体资格及历史沿革__01.1_登记事项及关键变更档案_20260710｜正文</t>
        </is>
      </c>
      <c r="G6" s="3" t="inlineStr">
        <is>
          <t>按清单要求补充其余子项（如适用）。</t>
        </is>
      </c>
      <c r="H6" s="2" t="inlineStr">
        <is>
          <t>LOW</t>
        </is>
      </c>
      <c r="I6" s="2" t="inlineStr">
        <is>
          <t>RFI</t>
        </is>
      </c>
      <c r="J6" s="3" t="inlineStr">
        <is>
          <t>无。</t>
        </is>
      </c>
      <c r="K6" s="2" t="inlineStr">
        <is>
          <t>否</t>
        </is>
      </c>
      <c r="L6" s="2" t="inlineStr"/>
    </row>
    <row r="7">
      <c r="A7" s="2" t="inlineStr">
        <is>
          <t>CORP-06</t>
        </is>
      </c>
      <c r="B7" s="2" t="inlineStr">
        <is>
          <t>主体资格</t>
        </is>
      </c>
      <c r="C7" s="3" t="inlineStr">
        <is>
          <t>请说明并证明文件实际控制人、一致行动、委托持股、信托或代持安排。</t>
        </is>
      </c>
      <c r="D7" s="2" t="inlineStr">
        <is>
          <t>已满足</t>
        </is>
      </c>
      <c r="E7" s="3" t="inlineStr">
        <is>
          <t>已提供相关资料（01.3、02.1 ）。</t>
        </is>
      </c>
      <c r="F7" s="3" t="inlineStr">
        <is>
          <t>01_主体资格及历史沿革__01.1_登记事项及关键变更档案_20260710｜正文</t>
        </is>
      </c>
      <c r="G7" s="3" t="inlineStr">
        <is>
          <t>按清单要求补充其余子项（如适用）。</t>
        </is>
      </c>
      <c r="H7" s="2" t="inlineStr">
        <is>
          <t>LOW</t>
        </is>
      </c>
      <c r="I7" s="2" t="inlineStr">
        <is>
          <t>RFI</t>
        </is>
      </c>
      <c r="J7" s="3" t="inlineStr">
        <is>
          <t>无。</t>
        </is>
      </c>
      <c r="K7" s="2" t="inlineStr">
        <is>
          <t>否</t>
        </is>
      </c>
      <c r="L7" s="2" t="inlineStr"/>
    </row>
    <row r="8">
      <c r="A8" s="2" t="inlineStr">
        <is>
          <t>CORP-07</t>
        </is>
      </c>
      <c r="B8" s="2" t="inlineStr">
        <is>
          <t>主体资格</t>
        </is>
      </c>
      <c r="C8" s="3" t="inlineStr">
        <is>
          <t>请提供最近三年年度报告、公示信息及经营异常、严重违法失信名单说明。</t>
        </is>
      </c>
      <c r="D8" s="2" t="inlineStr">
        <is>
          <t>已满足</t>
        </is>
      </c>
      <c r="E8" s="3" t="inlineStr">
        <is>
          <t>已提供相关资料（01.1 ）。</t>
        </is>
      </c>
      <c r="F8" s="3" t="inlineStr">
        <is>
          <t>01_主体资格及历史沿革__01.1_登记事项及关键变更档案_20260710｜正文</t>
        </is>
      </c>
      <c r="G8" s="3" t="inlineStr">
        <is>
          <t>按清单要求补充其余子项（如适用）。</t>
        </is>
      </c>
      <c r="H8" s="2" t="inlineStr">
        <is>
          <t>LOW</t>
        </is>
      </c>
      <c r="I8" s="2" t="inlineStr">
        <is>
          <t>RFI</t>
        </is>
      </c>
      <c r="J8" s="3" t="inlineStr">
        <is>
          <t>提供近三年年度报告与经营异常/失信名单专项说明。</t>
        </is>
      </c>
      <c r="K8" s="2" t="inlineStr">
        <is>
          <t>否</t>
        </is>
      </c>
      <c r="L8" s="2" t="inlineStr">
        <is>
          <t>F-13</t>
        </is>
      </c>
    </row>
    <row r="9">
      <c r="A9" s="2" t="inlineStr">
        <is>
          <t>CAP-01</t>
        </is>
      </c>
      <c r="B9" s="2" t="inlineStr">
        <is>
          <t>股权出资</t>
        </is>
      </c>
      <c r="C9" s="3" t="inlineStr">
        <is>
          <t>请提供截至基准日的股权结构表，列明股东、认缴额、实缴额、持股比例、出资方式与出资期限。</t>
        </is>
      </c>
      <c r="D9" s="2" t="inlineStr">
        <is>
          <t>资料冲突</t>
        </is>
      </c>
      <c r="E9" s="3" t="inlineStr">
        <is>
          <t>云栖智联员工持股平台（有限合伙）：比例在文件中记载不一（8%/10%/22%/33%/45%，见 01_主体资格及历史沿革__01.1_登记事项及关键变更档案_20260710、01_主体资格及历史沿革__01.2_公司章程_202409修订_签署版、02_股权及公司治理__02.1_股权结构及历次变动台账_20260712、02_股权及公司治理__02.3_2024股权转让及决议文件汇编）。该冲突直接影响收购基准股权表与本次交易对价，并可能触发历史转让协议效力与税务复核。</t>
        </is>
      </c>
      <c r="F9" s="3" t="inlineStr">
        <is>
          <t>01_主体资格及历史沿革__01.1_登记事项及关键变更档案_20260710
01_主体资格及历史沿革__01.2_公司章程_202409修订_签署版
02_股权及公司治理__02.1_股权结构及历次变动台账_20260712
02_股权及公司治理__02.3_2024股权转让及决议文件汇编</t>
        </is>
      </c>
      <c r="G9" s="3" t="inlineStr">
        <is>
          <t>统一并更正多源不一致文件，作为交易先决。</t>
        </is>
      </c>
      <c r="H9" s="2" t="inlineStr">
        <is>
          <t>HIGH</t>
        </is>
      </c>
      <c r="I9" s="2" t="inlineStr">
        <is>
          <t>CP</t>
        </is>
      </c>
      <c r="J9" s="3" t="inlineStr">
        <is>
          <t>统一并更正股权比例，以登记机关备案文本为准，提供更正说明与转让对价支付凭证。</t>
        </is>
      </c>
      <c r="K9" s="2" t="inlineStr">
        <is>
          <t>是</t>
        </is>
      </c>
      <c r="L9" s="2" t="inlineStr">
        <is>
          <t>F-01</t>
        </is>
      </c>
    </row>
    <row r="10">
      <c r="A10" s="2" t="inlineStr">
        <is>
          <t>CAP-02</t>
        </is>
      </c>
      <c r="B10" s="2" t="inlineStr">
        <is>
          <t>股权出资</t>
        </is>
      </c>
      <c r="C10" s="3" t="inlineStr">
        <is>
          <t>请提供历次验资报告、银行入账凭证、出资证明书等实缴证明。</t>
        </is>
      </c>
      <c r="D10" s="2" t="inlineStr">
        <is>
          <t>部分满足</t>
        </is>
      </c>
      <c r="E10" s="3" t="inlineStr">
        <is>
          <t>股权结构台账显示：林远 认缴1200/实缴1000；华晟创业投资有限公司 认缴500/实缴500；云栖智联员工持股平台（有限合伙） 认缴160/实缴160；其他创始股东 认缴140/实缴140。存在未实缴出资。</t>
        </is>
      </c>
      <c r="F10" s="3" t="inlineStr">
        <is>
          <t>02_股权及公司治理__02.1_股权结构及历次变动台账_20260712｜正文</t>
        </is>
      </c>
      <c r="G10" s="3" t="inlineStr">
        <is>
          <t>实缴凭证与出资期限届满事项待核。</t>
        </is>
      </c>
      <c r="H10" s="2" t="inlineStr">
        <is>
          <t>HIGH</t>
        </is>
      </c>
      <c r="I10" s="2" t="inlineStr">
        <is>
          <t>CP</t>
        </is>
      </c>
      <c r="J10" s="3" t="inlineStr">
        <is>
          <t>统一并更正股权比例，以登记机关备案文本为准，提供更正说明与转让对价支付凭证。
提供全额验资报告与银行入账凭证，确认实缴与出资期限。</t>
        </is>
      </c>
      <c r="K10" s="2" t="inlineStr">
        <is>
          <t>是</t>
        </is>
      </c>
      <c r="L10" s="2" t="inlineStr">
        <is>
          <t>F-01、F-02</t>
        </is>
      </c>
    </row>
    <row r="11">
      <c r="A11" s="2" t="inlineStr">
        <is>
          <t>CAP-03</t>
        </is>
      </c>
      <c r="B11" s="2" t="inlineStr">
        <is>
          <t>股权出资</t>
        </is>
      </c>
      <c r="C11" s="3" t="inlineStr">
        <is>
          <t>请提供历次股权转让、增资、减资、回购或注销文件及对应付款、完税与登记材料。</t>
        </is>
      </c>
      <c r="D11" s="2" t="inlineStr">
        <is>
          <t>部分满足</t>
        </is>
      </c>
      <c r="E11" s="3" t="inlineStr">
        <is>
          <t>股权结构台账显示：林远 认缴1200/实缴1000；华晟创业投资有限公司 认缴500/实缴500；云栖智联员工持股平台（有限合伙） 认缴160/实缴160；其他创始股东 认缴140/实缴140。存在未实缴出资。</t>
        </is>
      </c>
      <c r="F11" s="3" t="inlineStr">
        <is>
          <t>02_股权及公司治理__02.1_股权结构及历次变动台账_20260712｜正文</t>
        </is>
      </c>
      <c r="G11" s="3" t="inlineStr">
        <is>
          <t>实缴凭证与出资期限届满事项待核。</t>
        </is>
      </c>
      <c r="H11" s="2" t="inlineStr">
        <is>
          <t>HIGH</t>
        </is>
      </c>
      <c r="I11" s="2" t="inlineStr">
        <is>
          <t>CP</t>
        </is>
      </c>
      <c r="J11" s="3" t="inlineStr">
        <is>
          <t>统一并更正股权比例，以登记机关备案文本为准，提供更正说明与转让对价支付凭证。</t>
        </is>
      </c>
      <c r="K11" s="2" t="inlineStr">
        <is>
          <t>是</t>
        </is>
      </c>
      <c r="L11" s="2" t="inlineStr">
        <is>
          <t>F-01</t>
        </is>
      </c>
    </row>
    <row r="12">
      <c r="A12" s="2" t="inlineStr">
        <is>
          <t>CAP-04</t>
        </is>
      </c>
      <c r="B12" s="2" t="inlineStr">
        <is>
          <t>股权出资</t>
        </is>
      </c>
      <c r="C12" s="3" t="inlineStr">
        <is>
          <t>请提供员工持股平台、股权激励、期权、限制性权益或虚拟股等完整文件与台账。</t>
        </is>
      </c>
      <c r="D12" s="2" t="inlineStr">
        <is>
          <t>部分满足</t>
        </is>
      </c>
      <c r="E12" s="3" t="inlineStr">
        <is>
          <t>股权结构台账显示：林远 认缴1200/实缴1000；华晟创业投资有限公司 认缴500/实缴500；云栖智联员工持股平台（有限合伙） 认缴160/实缴160；其他创始股东 认缴140/实缴140。存在未实缴出资。</t>
        </is>
      </c>
      <c r="F12" s="3" t="inlineStr">
        <is>
          <t>02_股权及公司治理__02.1_股权结构及历次变动台账_20260712｜正文</t>
        </is>
      </c>
      <c r="G12" s="3" t="inlineStr">
        <is>
          <t>实缴凭证与出资期限届满事项待核。；与CT-01矛盾相关（详见跨文件矛盾）</t>
        </is>
      </c>
      <c r="H12" s="2" t="inlineStr">
        <is>
          <t>HIGH</t>
        </is>
      </c>
      <c r="I12" s="2" t="inlineStr">
        <is>
          <t>CP</t>
        </is>
      </c>
      <c r="J12" s="3" t="inlineStr">
        <is>
          <t>统一并更正股权比例，以登记机关备案文本为准，提供更正说明与转让对价支付凭证。</t>
        </is>
      </c>
      <c r="K12" s="2" t="inlineStr">
        <is>
          <t>是</t>
        </is>
      </c>
      <c r="L12" s="2" t="inlineStr">
        <is>
          <t>F-01</t>
        </is>
      </c>
    </row>
    <row r="13">
      <c r="A13" s="2" t="inlineStr">
        <is>
          <t>CAP-05</t>
        </is>
      </c>
      <c r="B13" s="2" t="inlineStr">
        <is>
          <t>股权出资</t>
        </is>
      </c>
      <c r="C13" s="3" t="inlineStr">
        <is>
          <t>请提供股权质押、冻结、查封、优先购买、共同出售、随售或回购等权利负担文件。</t>
        </is>
      </c>
      <c r="D13" s="2" t="inlineStr">
        <is>
          <t>部分满足</t>
        </is>
      </c>
      <c r="E13" s="3" t="inlineStr">
        <is>
          <t>股权结构台账显示：林远 认缴1200/实缴1000；华晟创业投资有限公司 认缴500/实缴500；云栖智联员工持股平台（有限合伙） 认缴160/实缴160；其他创始股东 认缴140/实缴140。存在未实缴出资。</t>
        </is>
      </c>
      <c r="F13" s="3" t="inlineStr">
        <is>
          <t>02_股权及公司治理__02.1_股权结构及历次变动台账_20260712｜正文</t>
        </is>
      </c>
      <c r="G13" s="3" t="inlineStr">
        <is>
          <t>实缴凭证与出资期限届满事项待核。；与CT-01矛盾相关（详见跨文件矛盾）</t>
        </is>
      </c>
      <c r="H13" s="2" t="inlineStr">
        <is>
          <t>HIGH</t>
        </is>
      </c>
      <c r="I13" s="2" t="inlineStr">
        <is>
          <t>CP</t>
        </is>
      </c>
      <c r="J13" s="3" t="inlineStr">
        <is>
          <t>统一并更正股权比例，以登记机关备案文本为准，提供更正说明与转让对价支付凭证。</t>
        </is>
      </c>
      <c r="K13" s="2" t="inlineStr">
        <is>
          <t>是</t>
        </is>
      </c>
      <c r="L13" s="2" t="inlineStr">
        <is>
          <t>F-01</t>
        </is>
      </c>
    </row>
    <row r="14">
      <c r="A14" s="2" t="inlineStr">
        <is>
          <t>CAP-06</t>
        </is>
      </c>
      <c r="B14" s="2" t="inlineStr">
        <is>
          <t>股权出资</t>
        </is>
      </c>
      <c r="C14" s="3" t="inlineStr">
        <is>
          <t>请提供股东协议、投资协议及其补充协议，并列明尚存续的特殊股东权利。</t>
        </is>
      </c>
      <c r="D14" s="2" t="inlineStr">
        <is>
          <t>部分满足</t>
        </is>
      </c>
      <c r="E14" s="3" t="inlineStr">
        <is>
          <t>股权结构台账显示：林远 认缴1200/实缴1000；华晟创业投资有限公司 认缴500/实缴500；云栖智联员工持股平台（有限合伙） 认缴160/实缴160；其他创始股东 认缴140/实缴140。存在未实缴出资。</t>
        </is>
      </c>
      <c r="F14" s="3" t="inlineStr">
        <is>
          <t>02_股权及公司治理__02.1_股权结构及历次变动台账_20260712｜正文</t>
        </is>
      </c>
      <c r="G14" s="3" t="inlineStr">
        <is>
          <t>实缴凭证与出资期限届满事项待核。</t>
        </is>
      </c>
      <c r="H14" s="2" t="inlineStr">
        <is>
          <t>HIGH</t>
        </is>
      </c>
      <c r="I14" s="2" t="inlineStr">
        <is>
          <t>CP</t>
        </is>
      </c>
      <c r="J14" s="3" t="inlineStr">
        <is>
          <t>统一并更正股权比例，以登记机关备案文本为准，提供更正说明与转让对价支付凭证。</t>
        </is>
      </c>
      <c r="K14" s="2" t="inlineStr">
        <is>
          <t>是</t>
        </is>
      </c>
      <c r="L14" s="2" t="inlineStr">
        <is>
          <t>F-01</t>
        </is>
      </c>
    </row>
    <row r="15">
      <c r="A15" s="2" t="inlineStr">
        <is>
          <t>GOV-01</t>
        </is>
      </c>
      <c r="B15" s="2" t="inlineStr">
        <is>
          <t>公司治理</t>
        </is>
      </c>
      <c r="C15" s="3" t="inlineStr">
        <is>
          <t>请提供现任及近三年董事、监事、高管名单、任职与辞任文件。</t>
        </is>
      </c>
      <c r="D15" s="2" t="inlineStr">
        <is>
          <t>已满足</t>
        </is>
      </c>
      <c r="E15" s="3" t="inlineStr">
        <is>
          <t>已提供相关资料（01.1、02.4 ）。</t>
        </is>
      </c>
      <c r="F15" s="3" t="inlineStr">
        <is>
          <t>02_股权及公司治理__02.4_治理决议汇编_2024-2026｜正文</t>
        </is>
      </c>
      <c r="G15" s="3" t="inlineStr">
        <is>
          <t>按清单要求补充其余子项（如适用）。</t>
        </is>
      </c>
      <c r="H15" s="2" t="inlineStr">
        <is>
          <t>LOW</t>
        </is>
      </c>
      <c r="I15" s="2" t="inlineStr">
        <is>
          <t>CP</t>
        </is>
      </c>
      <c r="J15" s="3" t="inlineStr">
        <is>
          <t>无。</t>
        </is>
      </c>
      <c r="K15" s="2" t="inlineStr">
        <is>
          <t>否</t>
        </is>
      </c>
      <c r="L15" s="2" t="inlineStr"/>
    </row>
    <row r="16">
      <c r="A16" s="2" t="inlineStr">
        <is>
          <t>GOV-02</t>
        </is>
      </c>
      <c r="B16" s="2" t="inlineStr">
        <is>
          <t>公司治理</t>
        </is>
      </c>
      <c r="C16" s="3" t="inlineStr">
        <is>
          <t>请提供近三年股东会、董事会与监事决定/会议通知、签到、议案、记录及决议。</t>
        </is>
      </c>
      <c r="D16" s="2" t="inlineStr">
        <is>
          <t>部分满足</t>
        </is>
      </c>
      <c r="E16" s="3" t="inlineStr">
        <is>
          <t>治理决议汇编含股东会/董事会决议；章程规定董事会法定人数约 4 名董事，需核签署人数是否达标。</t>
        </is>
      </c>
      <c r="F16" s="3" t="inlineStr">
        <is>
          <t>02_股权及公司治理__02.4_治理决议汇编_2024-2026｜正文</t>
        </is>
      </c>
      <c r="G16" s="3" t="inlineStr">
        <is>
          <t>部分决议签署董事人数与法定人数待核（见 K-05）。</t>
        </is>
      </c>
      <c r="H16" s="2" t="inlineStr">
        <is>
          <t>MEDIUM</t>
        </is>
      </c>
      <c r="I16" s="2" t="inlineStr">
        <is>
          <t>CP</t>
        </is>
      </c>
      <c r="J16" s="3" t="inlineStr">
        <is>
          <t>补正董事会决议法定人数瑕疵或取得贷款人确认。</t>
        </is>
      </c>
      <c r="K16" s="2" t="inlineStr">
        <is>
          <t>否</t>
        </is>
      </c>
      <c r="L16" s="2" t="inlineStr">
        <is>
          <t>F-04</t>
        </is>
      </c>
    </row>
    <row r="17">
      <c r="A17" s="2" t="inlineStr">
        <is>
          <t>GOV-03</t>
        </is>
      </c>
      <c r="B17" s="2" t="inlineStr">
        <is>
          <t>公司治理</t>
        </is>
      </c>
      <c r="C17" s="3" t="inlineStr">
        <is>
          <t>请提供关联交易、对外担保、融资、重大投资与资产处置的审批制度及对应文件。</t>
        </is>
      </c>
      <c r="D17" s="2" t="inlineStr">
        <is>
          <t>已满足</t>
        </is>
      </c>
      <c r="E17" s="3" t="inlineStr">
        <is>
          <t>已提供相关资料（01.2、02.4、03.4 ）。</t>
        </is>
      </c>
      <c r="F17" s="3" t="inlineStr">
        <is>
          <t>02_股权及公司治理__02.4_治理决议汇编_2024-2026｜正文</t>
        </is>
      </c>
      <c r="G17" s="3" t="inlineStr">
        <is>
          <t>按清单要求补充其余子项（如适用）。</t>
        </is>
      </c>
      <c r="H17" s="2" t="inlineStr">
        <is>
          <t>LOW</t>
        </is>
      </c>
      <c r="I17" s="2" t="inlineStr">
        <is>
          <t>CP</t>
        </is>
      </c>
      <c r="J17" s="3" t="inlineStr">
        <is>
          <t>补充关联交易与对外担保专项管理制度及历史审批记录。</t>
        </is>
      </c>
      <c r="K17" s="2" t="inlineStr">
        <is>
          <t>否</t>
        </is>
      </c>
      <c r="L17" s="2" t="inlineStr">
        <is>
          <t>F-14</t>
        </is>
      </c>
    </row>
    <row r="18">
      <c r="A18" s="2" t="inlineStr">
        <is>
          <t>GOV-04</t>
        </is>
      </c>
      <c r="B18" s="2" t="inlineStr">
        <is>
          <t>公司治理</t>
        </is>
      </c>
      <c r="C18" s="3" t="inlineStr">
        <is>
          <t>请提供法定代表人、印章、网银 U 盾与授权委托管理制度及用印台账。</t>
        </is>
      </c>
      <c r="D18" s="2" t="inlineStr">
        <is>
          <t>已满足</t>
        </is>
      </c>
      <c r="E18" s="3" t="inlineStr">
        <is>
          <t>已提供相关资料（00.2 ）。</t>
        </is>
      </c>
      <c r="F18" s="3" t="inlineStr">
        <is>
          <t>02_股权及公司治理__02.4_治理决议汇编_2024-2026｜正文</t>
        </is>
      </c>
      <c r="G18" s="3" t="inlineStr">
        <is>
          <t>按清单要求补充其余子项（如适用）。</t>
        </is>
      </c>
      <c r="H18" s="2" t="inlineStr">
        <is>
          <t>LOW</t>
        </is>
      </c>
      <c r="I18" s="2" t="inlineStr">
        <is>
          <t>CP</t>
        </is>
      </c>
      <c r="J18" s="3" t="inlineStr">
        <is>
          <t>提供法定代表人/印章/网银U盾管理制度与用印台账。</t>
        </is>
      </c>
      <c r="K18" s="2" t="inlineStr">
        <is>
          <t>否</t>
        </is>
      </c>
      <c r="L18" s="2" t="inlineStr">
        <is>
          <t>F-19</t>
        </is>
      </c>
    </row>
    <row r="19">
      <c r="A19" s="2" t="inlineStr">
        <is>
          <t>GOV-05</t>
        </is>
      </c>
      <c r="B19" s="2" t="inlineStr">
        <is>
          <t>公司治理</t>
        </is>
      </c>
      <c r="C19" s="3" t="inlineStr">
        <is>
          <t>请提供尚未执行完毕或可能影响本次交易的股东会、董事会决议及授权。</t>
        </is>
      </c>
      <c r="D19" s="2" t="inlineStr">
        <is>
          <t>已满足</t>
        </is>
      </c>
      <c r="E19" s="3" t="inlineStr">
        <is>
          <t>已提供相关资料（02.4 ）。</t>
        </is>
      </c>
      <c r="F19" s="3" t="inlineStr">
        <is>
          <t>02_股权及公司治理__02.4_治理决议汇编_2024-2026｜正文</t>
        </is>
      </c>
      <c r="G19" s="3" t="inlineStr">
        <is>
          <t>按清单要求补充其余子项（如适用）。</t>
        </is>
      </c>
      <c r="H19" s="2" t="inlineStr">
        <is>
          <t>LOW</t>
        </is>
      </c>
      <c r="I19" s="2" t="inlineStr">
        <is>
          <t>CP</t>
        </is>
      </c>
      <c r="J19" s="3" t="inlineStr">
        <is>
          <t>提供尚未执行完毕或影响本次交易的股东会/董事会决议及授权文件。</t>
        </is>
      </c>
      <c r="K19" s="2" t="inlineStr">
        <is>
          <t>否</t>
        </is>
      </c>
      <c r="L19" s="2" t="inlineStr">
        <is>
          <t>F-20</t>
        </is>
      </c>
    </row>
    <row r="20">
      <c r="A20" s="2" t="inlineStr">
        <is>
          <t>CON-01</t>
        </is>
      </c>
      <c r="B20" s="2" t="inlineStr">
        <is>
          <t>重大合同</t>
        </is>
      </c>
      <c r="C20" s="3" t="inlineStr">
        <is>
          <t>请提供截至基准日的重大合同台账，至少列明相对方、金额、期限、履行状态与控制权变更等条款。</t>
        </is>
      </c>
      <c r="D20" s="2" t="inlineStr">
        <is>
          <t>部分满足</t>
        </is>
      </c>
      <c r="E20" s="3" t="inlineStr">
        <is>
          <t>合同台账列示重大合同 4 份；其中 3 份含控制权变更/转让限制条款（如 C-01）。</t>
        </is>
      </c>
      <c r="F20" s="3" t="inlineStr">
        <is>
          <t>03_重大合同及融资__03.1_重大合同台账_20260712｜正文</t>
        </is>
      </c>
      <c r="G20" s="3" t="inlineStr">
        <is>
          <t>控制权变更需取得相对方确认/豁免，待核具体条款文本。</t>
        </is>
      </c>
      <c r="H20" s="2" t="inlineStr">
        <is>
          <t>HIGH</t>
        </is>
      </c>
      <c r="I20" s="2" t="inlineStr">
        <is>
          <t>COVENANT</t>
        </is>
      </c>
      <c r="J20" s="3" t="inlineStr">
        <is>
          <t>无。</t>
        </is>
      </c>
      <c r="K20" s="2" t="inlineStr">
        <is>
          <t>是</t>
        </is>
      </c>
      <c r="L20" s="2" t="inlineStr"/>
    </row>
    <row r="21">
      <c r="A21" s="2" t="inlineStr">
        <is>
          <t>CON-02</t>
        </is>
      </c>
      <c r="B21" s="2" t="inlineStr">
        <is>
          <t>重大合同</t>
        </is>
      </c>
      <c r="C21" s="3" t="inlineStr">
        <is>
          <t>请提供前十大客户及收入占比、对应主协议、订单、补充协议与争议材料。</t>
        </is>
      </c>
      <c r="D21" s="2" t="inlineStr">
        <is>
          <t>部分满足</t>
        </is>
      </c>
      <c r="E21" s="3" t="inlineStr">
        <is>
          <t>合同台账列示重大合同 4 份；其中 3 份含控制权变更/转让限制条款（如 C-01）。</t>
        </is>
      </c>
      <c r="F21" s="3" t="inlineStr">
        <is>
          <t>03_重大合同及融资__03.1_重大合同台账_20260712｜正文</t>
        </is>
      </c>
      <c r="G21" s="3" t="inlineStr">
        <is>
          <t>控制权变更需取得相对方确认/豁免，待核具体条款文本。</t>
        </is>
      </c>
      <c r="H21" s="2" t="inlineStr">
        <is>
          <t>HIGH</t>
        </is>
      </c>
      <c r="I21" s="2" t="inlineStr">
        <is>
          <t>COVENANT</t>
        </is>
      </c>
      <c r="J21" s="3" t="inlineStr">
        <is>
          <t>就控制权变更取得核心客户、贷款人与出租方确认或豁免，纳入交易承诺。
提供前十大客户/供应商主协议、订单及收入/采购占比明细。</t>
        </is>
      </c>
      <c r="K21" s="2" t="inlineStr">
        <is>
          <t>是</t>
        </is>
      </c>
      <c r="L21" s="2" t="inlineStr">
        <is>
          <t>F-05、F-10</t>
        </is>
      </c>
    </row>
    <row r="22">
      <c r="A22" s="2" t="inlineStr">
        <is>
          <t>CON-03</t>
        </is>
      </c>
      <c r="B22" s="2" t="inlineStr">
        <is>
          <t>重大合同</t>
        </is>
      </c>
      <c r="C22" s="3" t="inlineStr">
        <is>
          <t>请提供前十大供应商及采购占比、采购、云服务、外包与技术服务的协议。</t>
        </is>
      </c>
      <c r="D22" s="2" t="inlineStr">
        <is>
          <t>部分满足</t>
        </is>
      </c>
      <c r="E22" s="3" t="inlineStr">
        <is>
          <t>合同台账列示重大合同 4 份；其中 3 份含控制权变更/转让限制条款（如 C-01）。</t>
        </is>
      </c>
      <c r="F22" s="3" t="inlineStr">
        <is>
          <t>03_重大合同及融资__03.1_重大合同台账_20260712｜正文</t>
        </is>
      </c>
      <c r="G22" s="3" t="inlineStr">
        <is>
          <t>控制权变更需取得相对方确认/豁免，待核具体条款文本。</t>
        </is>
      </c>
      <c r="H22" s="2" t="inlineStr">
        <is>
          <t>HIGH</t>
        </is>
      </c>
      <c r="I22" s="2" t="inlineStr">
        <is>
          <t>COVENANT</t>
        </is>
      </c>
      <c r="J22" s="3" t="inlineStr">
        <is>
          <t>提供前十大客户/供应商主协议、订单及收入/采购占比明细。</t>
        </is>
      </c>
      <c r="K22" s="2" t="inlineStr">
        <is>
          <t>是</t>
        </is>
      </c>
      <c r="L22" s="2" t="inlineStr">
        <is>
          <t>F-10</t>
        </is>
      </c>
    </row>
    <row r="23">
      <c r="A23" s="2" t="inlineStr">
        <is>
          <t>CON-04</t>
        </is>
      </c>
      <c r="B23" s="2" t="inlineStr">
        <is>
          <t>重大合同</t>
        </is>
      </c>
      <c r="C23" s="3" t="inlineStr">
        <is>
          <t>请提供经销、代理、渠道、合作伙伴或联合销售协议及相关返利政策。</t>
        </is>
      </c>
      <c r="D23" s="2" t="inlineStr">
        <is>
          <t>部分满足</t>
        </is>
      </c>
      <c r="E23" s="3" t="inlineStr">
        <is>
          <t>合同台账列示重大合同 4 份；其中 3 份含控制权变更/转让限制条款（如 C-01）。</t>
        </is>
      </c>
      <c r="F23" s="3" t="inlineStr">
        <is>
          <t>03_重大合同及融资__03.1_重大合同台账_20260712｜正文</t>
        </is>
      </c>
      <c r="G23" s="3" t="inlineStr">
        <is>
          <t>控制权变更需取得相对方确认/豁免，待核具体条款文本。</t>
        </is>
      </c>
      <c r="H23" s="2" t="inlineStr">
        <is>
          <t>HIGH</t>
        </is>
      </c>
      <c r="I23" s="2" t="inlineStr">
        <is>
          <t>COVENANT</t>
        </is>
      </c>
      <c r="J23" s="3" t="inlineStr">
        <is>
          <t>无。</t>
        </is>
      </c>
      <c r="K23" s="2" t="inlineStr">
        <is>
          <t>是</t>
        </is>
      </c>
      <c r="L23" s="2" t="inlineStr"/>
    </row>
    <row r="24">
      <c r="A24" s="2" t="inlineStr">
        <is>
          <t>CON-05</t>
        </is>
      </c>
      <c r="B24" s="2" t="inlineStr">
        <is>
          <t>重大合同</t>
        </is>
      </c>
      <c r="C24" s="3" t="inlineStr">
        <is>
          <t>请提供借款、授信、融资租赁、保理、票据、可转债等融资文件与余额清单。</t>
        </is>
      </c>
      <c r="D24" s="2" t="inlineStr">
        <is>
          <t>部分满足</t>
        </is>
      </c>
      <c r="E24" s="3" t="inlineStr">
        <is>
          <t>合同台账列示重大合同 4 份；其中 3 份含控制权变更/转让限制条款（如 C-01）。</t>
        </is>
      </c>
      <c r="F24" s="3" t="inlineStr">
        <is>
          <t>03_重大合同及融资__03.1_重大合同台账_20260712｜正文</t>
        </is>
      </c>
      <c r="G24" s="3" t="inlineStr">
        <is>
          <t>控制权变更需取得相对方确认/豁免，待核具体条款文本。</t>
        </is>
      </c>
      <c r="H24" s="2" t="inlineStr">
        <is>
          <t>HIGH</t>
        </is>
      </c>
      <c r="I24" s="2" t="inlineStr">
        <is>
          <t>COVENANT</t>
        </is>
      </c>
      <c r="J24" s="3" t="inlineStr">
        <is>
          <t>就控制权变更取得核心客户、贷款人与出租方确认或豁免，纳入交易承诺。</t>
        </is>
      </c>
      <c r="K24" s="2" t="inlineStr">
        <is>
          <t>是</t>
        </is>
      </c>
      <c r="L24" s="2" t="inlineStr">
        <is>
          <t>F-05</t>
        </is>
      </c>
    </row>
    <row r="25">
      <c r="A25" s="2" t="inlineStr">
        <is>
          <t>CON-06</t>
        </is>
      </c>
      <c r="B25" s="2" t="inlineStr">
        <is>
          <t>重大合同</t>
        </is>
      </c>
      <c r="C25" s="3" t="inlineStr">
        <is>
          <t>请提供目标公司提供或接受的保证、抵押、质押、安慰函等增信文件。</t>
        </is>
      </c>
      <c r="D25" s="2" t="inlineStr">
        <is>
          <t>部分满足</t>
        </is>
      </c>
      <c r="E25" s="3" t="inlineStr">
        <is>
          <t>合同台账列示重大合同 4 份；其中 3 份含控制权变更/转让限制条款（如 C-01）。</t>
        </is>
      </c>
      <c r="F25" s="3" t="inlineStr">
        <is>
          <t>03_重大合同及融资__03.1_重大合同台账_20260712｜正文</t>
        </is>
      </c>
      <c r="G25" s="3" t="inlineStr">
        <is>
          <t>控制权变更需取得相对方确认/豁免，待核具体条款文本。</t>
        </is>
      </c>
      <c r="H25" s="2" t="inlineStr">
        <is>
          <t>HIGH</t>
        </is>
      </c>
      <c r="I25" s="2" t="inlineStr">
        <is>
          <t>COVENANT</t>
        </is>
      </c>
      <c r="J25" s="3" t="inlineStr">
        <is>
          <t>无。</t>
        </is>
      </c>
      <c r="K25" s="2" t="inlineStr">
        <is>
          <t>是</t>
        </is>
      </c>
      <c r="L25" s="2" t="inlineStr"/>
    </row>
    <row r="26">
      <c r="A26" s="2" t="inlineStr">
        <is>
          <t>CON-07</t>
        </is>
      </c>
      <c r="B26" s="2" t="inlineStr">
        <is>
          <t>重大合同</t>
        </is>
      </c>
      <c r="C26" s="3" t="inlineStr">
        <is>
          <t>请提供与关联方之间的采购、销售、许可、服务、资金拆借、费用分摊与资产使用协议。</t>
        </is>
      </c>
      <c r="D26" s="2" t="inlineStr">
        <is>
          <t>部分满足</t>
        </is>
      </c>
      <c r="E26" s="3" t="inlineStr">
        <is>
          <t>合同台账列示重大合同 4 份；其中 3 份含控制权变更/转让限制条款（如 C-01）。</t>
        </is>
      </c>
      <c r="F26" s="3" t="inlineStr">
        <is>
          <t>03_重大合同及融资__03.1_重大合同台账_20260712｜正文</t>
        </is>
      </c>
      <c r="G26" s="3" t="inlineStr">
        <is>
          <t>控制权变更需取得相对方确认/豁免，待核具体条款文本。</t>
        </is>
      </c>
      <c r="H26" s="2" t="inlineStr">
        <is>
          <t>HIGH</t>
        </is>
      </c>
      <c r="I26" s="2" t="inlineStr">
        <is>
          <t>COVENANT</t>
        </is>
      </c>
      <c r="J26" s="3" t="inlineStr">
        <is>
          <t>无。</t>
        </is>
      </c>
      <c r="K26" s="2" t="inlineStr">
        <is>
          <t>是</t>
        </is>
      </c>
      <c r="L26" s="2" t="inlineStr"/>
    </row>
    <row r="27">
      <c r="A27" s="2" t="inlineStr">
        <is>
          <t>CON-08</t>
        </is>
      </c>
      <c r="B27" s="2" t="inlineStr">
        <is>
          <t>重大合同</t>
        </is>
      </c>
      <c r="C27" s="3" t="inlineStr">
        <is>
          <t>请提供含重大违约、索赔、暂停履行、解除或未完成整改的合同及往来文件。</t>
        </is>
      </c>
      <c r="D27" s="2" t="inlineStr">
        <is>
          <t>部分满足</t>
        </is>
      </c>
      <c r="E27" s="3" t="inlineStr">
        <is>
          <t>合同台账列示重大合同 4 份；其中 3 份含控制权变更/转让限制条款（如 C-01）。</t>
        </is>
      </c>
      <c r="F27" s="3" t="inlineStr">
        <is>
          <t>03_重大合同及融资__03.1_重大合同台账_20260712｜正文</t>
        </is>
      </c>
      <c r="G27" s="3" t="inlineStr">
        <is>
          <t>控制权变更需取得相对方确认/豁免，待核具体条款文本。；与CT-03矛盾相关（详见跨文件矛盾）</t>
        </is>
      </c>
      <c r="H27" s="2" t="inlineStr">
        <is>
          <t>HIGH</t>
        </is>
      </c>
      <c r="I27" s="2" t="inlineStr">
        <is>
          <t>COVENANT</t>
        </is>
      </c>
      <c r="J27" s="3" t="inlineStr">
        <is>
          <t>无。</t>
        </is>
      </c>
      <c r="K27" s="2" t="inlineStr">
        <is>
          <t>是</t>
        </is>
      </c>
      <c r="L27" s="2" t="inlineStr"/>
    </row>
    <row r="28">
      <c r="A28" s="2" t="inlineStr">
        <is>
          <t>IP-01</t>
        </is>
      </c>
      <c r="B28" s="2" t="inlineStr">
        <is>
          <t>知识产权</t>
        </is>
      </c>
      <c r="C28" s="3" t="inlineStr">
        <is>
          <t>请提供专利、商标、软著、作品、域名及商业秘密清单，列明权利人、状态、期限与产品。</t>
        </is>
      </c>
      <c r="D28" s="2" t="inlineStr">
        <is>
          <t>部分满足</t>
        </is>
      </c>
      <c r="E28" s="3" t="inlineStr">
        <is>
          <t>知识产权清单列示 5 项；其中核心成果登记权利人为关联方（云栖智算（杭州）有限公司），未纳入收购范围。</t>
        </is>
      </c>
      <c r="F28" s="3" t="inlineStr">
        <is>
          <t>04_知识产权及信息技术__04.1_知识产权清单_202607｜正文</t>
        </is>
      </c>
      <c r="G28" s="3" t="inlineStr">
        <is>
          <t>核心IP权属转回/独占许可文件待提供。</t>
        </is>
      </c>
      <c r="H28" s="2" t="inlineStr">
        <is>
          <t>HIGH</t>
        </is>
      </c>
      <c r="I28" s="2" t="inlineStr">
        <is>
          <t>CP</t>
        </is>
      </c>
      <c r="J28" s="3" t="inlineStr">
        <is>
          <t>将核心IP转回/独占许可并办理权属变更登记，提供转让/许可协议。</t>
        </is>
      </c>
      <c r="K28" s="2" t="inlineStr">
        <is>
          <t>是</t>
        </is>
      </c>
      <c r="L28" s="2" t="inlineStr">
        <is>
          <t>F-03</t>
        </is>
      </c>
    </row>
    <row r="29">
      <c r="A29" s="2" t="inlineStr">
        <is>
          <t>IP-02</t>
        </is>
      </c>
      <c r="B29" s="2" t="inlineStr">
        <is>
          <t>知识产权</t>
        </is>
      </c>
      <c r="C29" s="3" t="inlineStr">
        <is>
          <t>请提供核心知识产权证书、申请文件、年费/续展凭证与权属变更文件。</t>
        </is>
      </c>
      <c r="D29" s="2" t="inlineStr">
        <is>
          <t>部分满足</t>
        </is>
      </c>
      <c r="E29" s="3" t="inlineStr">
        <is>
          <t>知识产权清单列示 5 项；其中核心成果登记权利人为关联方（云栖智算（杭州）有限公司），未纳入收购范围。</t>
        </is>
      </c>
      <c r="F29" s="3" t="inlineStr">
        <is>
          <t>04_知识产权及信息技术__04.1_知识产权清单_202607｜正文</t>
        </is>
      </c>
      <c r="G29" s="3" t="inlineStr">
        <is>
          <t>核心IP权属转回/独占许可文件待提供。</t>
        </is>
      </c>
      <c r="H29" s="2" t="inlineStr">
        <is>
          <t>HIGH</t>
        </is>
      </c>
      <c r="I29" s="2" t="inlineStr">
        <is>
          <t>CP</t>
        </is>
      </c>
      <c r="J29" s="3" t="inlineStr">
        <is>
          <t>将核心IP转回/独占许可并办理权属变更登记，提供转让/许可协议。</t>
        </is>
      </c>
      <c r="K29" s="2" t="inlineStr">
        <is>
          <t>是</t>
        </is>
      </c>
      <c r="L29" s="2" t="inlineStr">
        <is>
          <t>F-03</t>
        </is>
      </c>
    </row>
    <row r="30">
      <c r="A30" s="2" t="inlineStr">
        <is>
          <t>IP-03</t>
        </is>
      </c>
      <c r="B30" s="2" t="inlineStr">
        <is>
          <t>知识产权</t>
        </is>
      </c>
      <c r="C30" s="3" t="inlineStr">
        <is>
          <t>请提供员工、创始人、顾问、外包与研发方签署的保密、职务成果及 IP 转让文件。</t>
        </is>
      </c>
      <c r="D30" s="2" t="inlineStr">
        <is>
          <t>部分满足</t>
        </is>
      </c>
      <c r="E30" s="3" t="inlineStr">
        <is>
          <t>知识产权清单列示 5 项；其中核心成果登记权利人为关联方（云栖智算（杭州）有限公司），未纳入收购范围。</t>
        </is>
      </c>
      <c r="F30" s="3" t="inlineStr">
        <is>
          <t>04_知识产权及信息技术__04.1_知识产权清单_202607｜正文</t>
        </is>
      </c>
      <c r="G30" s="3" t="inlineStr">
        <is>
          <t>核心IP权属转回/独占许可文件待提供。</t>
        </is>
      </c>
      <c r="H30" s="2" t="inlineStr">
        <is>
          <t>HIGH</t>
        </is>
      </c>
      <c r="I30" s="2" t="inlineStr">
        <is>
          <t>CP</t>
        </is>
      </c>
      <c r="J30" s="3" t="inlineStr">
        <is>
          <t>将核心IP转回/独占许可并办理权属变更登记，提供转让/许可协议。</t>
        </is>
      </c>
      <c r="K30" s="2" t="inlineStr">
        <is>
          <t>是</t>
        </is>
      </c>
      <c r="L30" s="2" t="inlineStr">
        <is>
          <t>F-03</t>
        </is>
      </c>
    </row>
    <row r="31">
      <c r="A31" s="2" t="inlineStr">
        <is>
          <t>IP-04</t>
        </is>
      </c>
      <c r="B31" s="2" t="inlineStr">
        <is>
          <t>知识产权</t>
        </is>
      </c>
      <c r="C31" s="3" t="inlineStr">
        <is>
          <t>请提供知识产权许可、技术引进、联合/委托开发、开源与第三方代码使用文件。</t>
        </is>
      </c>
      <c r="D31" s="2" t="inlineStr">
        <is>
          <t>部分满足</t>
        </is>
      </c>
      <c r="E31" s="3" t="inlineStr">
        <is>
          <t>知识产权清单列示 5 项；其中核心成果登记权利人为关联方（云栖智算（杭州）有限公司），未纳入收购范围。</t>
        </is>
      </c>
      <c r="F31" s="3" t="inlineStr">
        <is>
          <t>04_知识产权及信息技术__04.1_知识产权清单_202607｜正文</t>
        </is>
      </c>
      <c r="G31" s="3" t="inlineStr">
        <is>
          <t>核心IP权属转回/独占许可文件待提供。</t>
        </is>
      </c>
      <c r="H31" s="2" t="inlineStr">
        <is>
          <t>HIGH</t>
        </is>
      </c>
      <c r="I31" s="2" t="inlineStr">
        <is>
          <t>CP</t>
        </is>
      </c>
      <c r="J31" s="3" t="inlineStr">
        <is>
          <t>将核心IP转回/独占许可并办理权属变更登记，提供转让/许可协议。
完成开源AGPL/SSPL专项法务复核并闭环（修改后网络提供义务）。</t>
        </is>
      </c>
      <c r="K31" s="2" t="inlineStr">
        <is>
          <t>是</t>
        </is>
      </c>
      <c r="L31" s="2" t="inlineStr">
        <is>
          <t>F-03、F-11</t>
        </is>
      </c>
    </row>
    <row r="32">
      <c r="A32" s="2" t="inlineStr">
        <is>
          <t>IP-05</t>
        </is>
      </c>
      <c r="B32" s="2" t="inlineStr">
        <is>
          <t>知识产权</t>
        </is>
      </c>
      <c r="C32" s="3" t="inlineStr">
        <is>
          <t>请提供开源软件物料清单（SBOM）、许可证、使用方式、修改情况与合规审查记录。</t>
        </is>
      </c>
      <c r="D32" s="2" t="inlineStr">
        <is>
          <t>部分满足</t>
        </is>
      </c>
      <c r="E32" s="3" t="inlineStr">
        <is>
          <t>知识产权清单列示 5 项；其中核心成果登记权利人为关联方（云栖智算（杭州）有限公司），未纳入收购范围。</t>
        </is>
      </c>
      <c r="F32" s="3" t="inlineStr">
        <is>
          <t>04_知识产权及信息技术__04.1_知识产权清单_202607｜正文</t>
        </is>
      </c>
      <c r="G32" s="3" t="inlineStr">
        <is>
          <t>核心IP权属转回/独占许可文件待提供。</t>
        </is>
      </c>
      <c r="H32" s="2" t="inlineStr">
        <is>
          <t>HIGH</t>
        </is>
      </c>
      <c r="I32" s="2" t="inlineStr">
        <is>
          <t>CP</t>
        </is>
      </c>
      <c r="J32" s="3" t="inlineStr">
        <is>
          <t>将核心IP转回/独占许可并办理权属变更登记，提供转让/许可协议。
完成开源AGPL/SSPL专项法务复核并闭环（修改后网络提供义务）。</t>
        </is>
      </c>
      <c r="K32" s="2" t="inlineStr">
        <is>
          <t>是</t>
        </is>
      </c>
      <c r="L32" s="2" t="inlineStr">
        <is>
          <t>F-03、F-11</t>
        </is>
      </c>
    </row>
    <row r="33">
      <c r="A33" s="2" t="inlineStr">
        <is>
          <t>IP-06</t>
        </is>
      </c>
      <c r="B33" s="2" t="inlineStr">
        <is>
          <t>知识产权</t>
        </is>
      </c>
      <c r="C33" s="3" t="inlineStr">
        <is>
          <t>请提供知识产权侵权主张、异议、无效、撤销、警告函、和解及共存安排。</t>
        </is>
      </c>
      <c r="D33" s="2" t="inlineStr">
        <is>
          <t>部分满足</t>
        </is>
      </c>
      <c r="E33" s="3" t="inlineStr">
        <is>
          <t>知识产权清单列示 5 项；其中核心成果登记权利人为关联方（云栖智算（杭州）有限公司），未纳入收购范围。</t>
        </is>
      </c>
      <c r="F33" s="3" t="inlineStr">
        <is>
          <t>04_知识产权及信息技术__04.1_知识产权清单_202607｜正文</t>
        </is>
      </c>
      <c r="G33" s="3" t="inlineStr">
        <is>
          <t>核心IP权属转回/独占许可文件待提供。</t>
        </is>
      </c>
      <c r="H33" s="2" t="inlineStr">
        <is>
          <t>HIGH</t>
        </is>
      </c>
      <c r="I33" s="2" t="inlineStr">
        <is>
          <t>CP</t>
        </is>
      </c>
      <c r="J33" s="3" t="inlineStr">
        <is>
          <t>将核心IP转回/独占许可并办理权属变更登记，提供转让/许可协议。</t>
        </is>
      </c>
      <c r="K33" s="2" t="inlineStr">
        <is>
          <t>是</t>
        </is>
      </c>
      <c r="L33" s="2" t="inlineStr">
        <is>
          <t>F-03</t>
        </is>
      </c>
    </row>
    <row r="34">
      <c r="A34" s="2" t="inlineStr">
        <is>
          <t>IP-07</t>
        </is>
      </c>
      <c r="B34" s="2" t="inlineStr">
        <is>
          <t>知识产权</t>
        </is>
      </c>
      <c r="C34" s="3" t="inlineStr">
        <is>
          <t>请提供研发、代码仓库、权限、发布、备份、灾备与离职交接制度及执行记录。</t>
        </is>
      </c>
      <c r="D34" s="2" t="inlineStr">
        <is>
          <t>部分满足</t>
        </is>
      </c>
      <c r="E34" s="3" t="inlineStr">
        <is>
          <t>知识产权清单列示 5 项；其中核心成果登记权利人为关联方（云栖智算（杭州）有限公司），未纳入收购范围。</t>
        </is>
      </c>
      <c r="F34" s="3" t="inlineStr">
        <is>
          <t>04_知识产权及信息技术__04.1_知识产权清单_202607｜正文</t>
        </is>
      </c>
      <c r="G34" s="3" t="inlineStr">
        <is>
          <t>核心IP权属转回/独占许可文件待提供。</t>
        </is>
      </c>
      <c r="H34" s="2" t="inlineStr">
        <is>
          <t>HIGH</t>
        </is>
      </c>
      <c r="I34" s="2" t="inlineStr">
        <is>
          <t>CP</t>
        </is>
      </c>
      <c r="J34" s="3" t="inlineStr">
        <is>
          <t>将核心IP转回/独占许可并办理权属变更登记，提供转让/许可协议。</t>
        </is>
      </c>
      <c r="K34" s="2" t="inlineStr">
        <is>
          <t>是</t>
        </is>
      </c>
      <c r="L34" s="2" t="inlineStr">
        <is>
          <t>F-03</t>
        </is>
      </c>
    </row>
    <row r="35">
      <c r="A35" s="2" t="inlineStr">
        <is>
          <t>HR-01</t>
        </is>
      </c>
      <c r="B35" s="2" t="inlineStr">
        <is>
          <t>劳动人事</t>
        </is>
      </c>
      <c r="C35" s="3" t="inlineStr">
        <is>
          <t>请提供员工名册，列明岗位、入职、合同期限、地点、薪酬、社保与派遣情况。</t>
        </is>
      </c>
      <c r="D35" s="2" t="inlineStr">
        <is>
          <t>部分满足</t>
        </is>
      </c>
      <c r="E35" s="3" t="inlineStr">
        <is>
          <t>员工名册 5 人；关键人员（沈澈）合同状态：未签署稿。</t>
        </is>
      </c>
      <c r="F35" s="3" t="inlineStr">
        <is>
          <t>05_劳动人事__05.1_员工名册及社保情况_202606｜正文</t>
        </is>
      </c>
      <c r="G35" s="3" t="inlineStr">
        <is>
          <t>核心人员劳动合同与IP协议签署待补。</t>
        </is>
      </c>
      <c r="H35" s="2" t="inlineStr">
        <is>
          <t>HIGH</t>
        </is>
      </c>
      <c r="I35" s="2" t="inlineStr">
        <is>
          <t>CP</t>
        </is>
      </c>
      <c r="J35" s="3" t="inlineStr">
        <is>
          <t>无。</t>
        </is>
      </c>
      <c r="K35" s="2" t="inlineStr">
        <is>
          <t>是</t>
        </is>
      </c>
      <c r="L35" s="2" t="inlineStr"/>
    </row>
    <row r="36">
      <c r="A36" s="2" t="inlineStr">
        <is>
          <t>HR-02</t>
        </is>
      </c>
      <c r="B36" s="2" t="inlineStr">
        <is>
          <t>劳动人事</t>
        </is>
      </c>
      <c r="C36" s="3" t="inlineStr">
        <is>
          <t>请提供劳动合同、保密、IP、竞业限制、奖金标准文本与关键员工签署版。</t>
        </is>
      </c>
      <c r="D36" s="2" t="inlineStr">
        <is>
          <t>部分满足</t>
        </is>
      </c>
      <c r="E36" s="3" t="inlineStr">
        <is>
          <t>员工名册 5 人；关键人员（沈澈）合同状态：未签署稿。</t>
        </is>
      </c>
      <c r="F36" s="3" t="inlineStr">
        <is>
          <t>05_劳动人事__05.1_员工名册及社保情况_202606｜正文</t>
        </is>
      </c>
      <c r="G36" s="3" t="inlineStr">
        <is>
          <t>核心人员劳动合同与IP协议签署待补。</t>
        </is>
      </c>
      <c r="H36" s="2" t="inlineStr">
        <is>
          <t>HIGH</t>
        </is>
      </c>
      <c r="I36" s="2" t="inlineStr">
        <is>
          <t>CP</t>
        </is>
      </c>
      <c r="J36" s="3" t="inlineStr">
        <is>
          <t>交割前完成CTO等核心人员劳动合同及IP协议签署，或作为陈述保证/先决。</t>
        </is>
      </c>
      <c r="K36" s="2" t="inlineStr">
        <is>
          <t>是</t>
        </is>
      </c>
      <c r="L36" s="2" t="inlineStr">
        <is>
          <t>F-07</t>
        </is>
      </c>
    </row>
    <row r="37">
      <c r="A37" s="2" t="inlineStr">
        <is>
          <t>HR-03</t>
        </is>
      </c>
      <c r="B37" s="2" t="inlineStr">
        <is>
          <t>劳动人事</t>
        </is>
      </c>
      <c r="C37" s="3" t="inlineStr">
        <is>
          <t>请提供员工手册、奖惩、工时、休假、薪酬、绩效与个人信息处理制度及公示记录。</t>
        </is>
      </c>
      <c r="D37" s="2" t="inlineStr">
        <is>
          <t>部分满足</t>
        </is>
      </c>
      <c r="E37" s="3" t="inlineStr">
        <is>
          <t>员工名册 5 人；关键人员（沈澈）合同状态：未签署稿。</t>
        </is>
      </c>
      <c r="F37" s="3" t="inlineStr">
        <is>
          <t>05_劳动人事__05.1_员工名册及社保情况_202606｜正文</t>
        </is>
      </c>
      <c r="G37" s="3" t="inlineStr">
        <is>
          <t>核心人员劳动合同与IP协议签署待补。</t>
        </is>
      </c>
      <c r="H37" s="2" t="inlineStr">
        <is>
          <t>HIGH</t>
        </is>
      </c>
      <c r="I37" s="2" t="inlineStr">
        <is>
          <t>CP</t>
        </is>
      </c>
      <c r="J37" s="3" t="inlineStr">
        <is>
          <t>补充员工手册民主公示记录与关键员工IP/竞业限制签署版。</t>
        </is>
      </c>
      <c r="K37" s="2" t="inlineStr">
        <is>
          <t>是</t>
        </is>
      </c>
      <c r="L37" s="2" t="inlineStr">
        <is>
          <t>F-12</t>
        </is>
      </c>
    </row>
    <row r="38">
      <c r="A38" s="2" t="inlineStr">
        <is>
          <t>HR-04</t>
        </is>
      </c>
      <c r="B38" s="2" t="inlineStr">
        <is>
          <t>劳动人事</t>
        </is>
      </c>
      <c r="C38" s="3" t="inlineStr">
        <is>
          <t>请提供近三年劳动争议、工伤、裁员、补偿、社保补缴与员工投诉清单。</t>
        </is>
      </c>
      <c r="D38" s="2" t="inlineStr">
        <is>
          <t>部分满足</t>
        </is>
      </c>
      <c r="E38" s="3" t="inlineStr">
        <is>
          <t>员工名册 5 人；关键人员（沈澈）合同状态：未签署稿。</t>
        </is>
      </c>
      <c r="F38" s="3" t="inlineStr">
        <is>
          <t>05_劳动人事__05.1_员工名册及社保情况_202606｜正文</t>
        </is>
      </c>
      <c r="G38" s="3" t="inlineStr">
        <is>
          <t>核心人员劳动合同与IP协议签署待补。</t>
        </is>
      </c>
      <c r="H38" s="2" t="inlineStr">
        <is>
          <t>HIGH</t>
        </is>
      </c>
      <c r="I38" s="2" t="inlineStr">
        <is>
          <t>CP</t>
        </is>
      </c>
      <c r="J38" s="3" t="inlineStr">
        <is>
          <t>无。</t>
        </is>
      </c>
      <c r="K38" s="2" t="inlineStr">
        <is>
          <t>是</t>
        </is>
      </c>
      <c r="L38" s="2" t="inlineStr"/>
    </row>
    <row r="39">
      <c r="A39" s="2" t="inlineStr">
        <is>
          <t>HR-05</t>
        </is>
      </c>
      <c r="B39" s="2" t="inlineStr">
        <is>
          <t>劳动人事</t>
        </is>
      </c>
      <c r="C39" s="3" t="inlineStr">
        <is>
          <t>请提供关键人员留任、控制权变更奖金、遣散、加速归属或交易相关激励安排。</t>
        </is>
      </c>
      <c r="D39" s="2" t="inlineStr">
        <is>
          <t>部分满足</t>
        </is>
      </c>
      <c r="E39" s="3" t="inlineStr">
        <is>
          <t>员工名册 5 人；关键人员（沈澈）合同状态：未签署稿。</t>
        </is>
      </c>
      <c r="F39" s="3" t="inlineStr">
        <is>
          <t>05_劳动人事__05.1_员工名册及社保情况_202606｜正文</t>
        </is>
      </c>
      <c r="G39" s="3" t="inlineStr">
        <is>
          <t>核心人员劳动合同与IP协议签署待补。</t>
        </is>
      </c>
      <c r="H39" s="2" t="inlineStr">
        <is>
          <t>HIGH</t>
        </is>
      </c>
      <c r="I39" s="2" t="inlineStr">
        <is>
          <t>CP</t>
        </is>
      </c>
      <c r="J39" s="3" t="inlineStr">
        <is>
          <t>交割前完成CTO等核心人员劳动合同及IP协议签署，或作为陈述保证/先决。</t>
        </is>
      </c>
      <c r="K39" s="2" t="inlineStr">
        <is>
          <t>是</t>
        </is>
      </c>
      <c r="L39" s="2" t="inlineStr">
        <is>
          <t>F-07</t>
        </is>
      </c>
    </row>
    <row r="40">
      <c r="A40" s="2" t="inlineStr">
        <is>
          <t>DATA-01</t>
        </is>
      </c>
      <c r="B40" s="2" t="inlineStr">
        <is>
          <t>数据合规</t>
        </is>
      </c>
      <c r="C40" s="3" t="inlineStr">
        <is>
          <t>请提供业务数据地图与数据清单，说明来源、主体、字段、目的、系统与接收方。</t>
        </is>
      </c>
      <c r="D40" s="2" t="inlineStr">
        <is>
          <t>部分满足</t>
        </is>
      </c>
      <c r="E40" s="3" t="inlineStr">
        <is>
          <t>隐私政策与云账单显示存在境外区域部署（新加坡：应用日志、IP、账号标识符（含个人信息））。</t>
        </is>
      </c>
      <c r="F40" s="3" t="inlineStr">
        <is>
          <t>06_数据合规及业务资质__06.1_隐私政策与数据处理说明_2026｜正文</t>
        </is>
      </c>
      <c r="G40" s="3" t="inlineStr">
        <is>
          <t>数据出境合规材料（标准合同/评估）待提供。</t>
        </is>
      </c>
      <c r="H40" s="2" t="inlineStr">
        <is>
          <t>MEDIUM</t>
        </is>
      </c>
      <c r="I40" s="2" t="inlineStr">
        <is>
          <t>RFI</t>
        </is>
      </c>
      <c r="J40" s="3" t="inlineStr">
        <is>
          <t>澄清境外（新加坡）部署资源的数据属性与出境合规：列明跨境传输字段、接收方与目的，提供告知同意记录、与境外接收方签订的标准合同/安全评估及个人信息保护影响评估（PIA）文件。</t>
        </is>
      </c>
      <c r="K40" s="2" t="inlineStr">
        <is>
          <t>否</t>
        </is>
      </c>
      <c r="L40" s="2" t="inlineStr">
        <is>
          <t>F-08</t>
        </is>
      </c>
    </row>
    <row r="41">
      <c r="A41" s="2" t="inlineStr">
        <is>
          <t>DATA-02</t>
        </is>
      </c>
      <c r="B41" s="2" t="inlineStr">
        <is>
          <t>数据合规</t>
        </is>
      </c>
      <c r="C41" s="3" t="inlineStr">
        <is>
          <t>请提供隐私政策、用户协议、授权同意文本与版本记录。</t>
        </is>
      </c>
      <c r="D41" s="2" t="inlineStr">
        <is>
          <t>部分满足</t>
        </is>
      </c>
      <c r="E41" s="3" t="inlineStr">
        <is>
          <t>隐私政策与云账单显示存在境外区域部署（新加坡：应用日志、IP、账号标识符（含个人信息））。</t>
        </is>
      </c>
      <c r="F41" s="3" t="inlineStr">
        <is>
          <t>06_数据合规及业务资质__06.1_隐私政策与数据处理说明_2026｜正文</t>
        </is>
      </c>
      <c r="G41" s="3" t="inlineStr">
        <is>
          <t>数据出境合规材料（标准合同/评估）待提供。</t>
        </is>
      </c>
      <c r="H41" s="2" t="inlineStr">
        <is>
          <t>MEDIUM</t>
        </is>
      </c>
      <c r="I41" s="2" t="inlineStr">
        <is>
          <t>RFI</t>
        </is>
      </c>
      <c r="J41" s="3" t="inlineStr">
        <is>
          <t>澄清境外（新加坡）部署资源的数据属性与出境合规：列明跨境传输字段、接收方与目的，提供告知同意记录、与境外接收方签订的标准合同/安全评估及个人信息保护影响评估（PIA）文件。</t>
        </is>
      </c>
      <c r="K41" s="2" t="inlineStr">
        <is>
          <t>否</t>
        </is>
      </c>
      <c r="L41" s="2" t="inlineStr">
        <is>
          <t>F-08</t>
        </is>
      </c>
    </row>
    <row r="42">
      <c r="A42" s="2" t="inlineStr">
        <is>
          <t>DATA-03</t>
        </is>
      </c>
      <c r="B42" s="2" t="inlineStr">
        <is>
          <t>数据合规</t>
        </is>
      </c>
      <c r="C42" s="3" t="inlineStr">
        <is>
          <t>请提供数据委托处理、共享、对外提供、跨境传输及第三方 SDK/云服务清单与协议。</t>
        </is>
      </c>
      <c r="D42" s="2" t="inlineStr">
        <is>
          <t>资料冲突</t>
        </is>
      </c>
      <c r="E42" s="3" t="inlineStr">
        <is>
          <t>隐私政策称无客户生产数据出境、海外仅测试/演示数据，但云账单显示境外区域（新加坡）部署含个人信息与账号标识符：prod-obs（新加坡，应用日志、IP、账号标识符（含个人信息））；sales-demo（新加坡，合成测试数据）。表述与部署互相矛盾，须核实是否落入《个人信息保护法》出境规制。</t>
        </is>
      </c>
      <c r="F42" s="3" t="inlineStr">
        <is>
          <t>06_数据合规及业务资质__06.1_隐私政策与数据处理说明_2026
06_数据合规及业务资质__06.2_云服务账单及资源区域_202601-06</t>
        </is>
      </c>
      <c r="G42" s="3" t="inlineStr">
        <is>
          <t>统一并更正多源不一致文件，作为交易先决。</t>
        </is>
      </c>
      <c r="H42" s="2" t="inlineStr">
        <is>
          <t>HIGH</t>
        </is>
      </c>
      <c r="I42" s="2" t="inlineStr">
        <is>
          <t>RFI</t>
        </is>
      </c>
      <c r="J42" s="3" t="inlineStr">
        <is>
          <t>澄清境外（新加坡）部署资源的数据属性与出境合规：列明跨境传输字段、接收方与目的，提供告知同意记录、与境外接收方签订的标准合同/安全评估及个人信息保护影响评估（PIA）文件。</t>
        </is>
      </c>
      <c r="K42" s="2" t="inlineStr">
        <is>
          <t>是</t>
        </is>
      </c>
      <c r="L42" s="2" t="inlineStr">
        <is>
          <t>F-08</t>
        </is>
      </c>
    </row>
    <row r="43">
      <c r="A43" s="2" t="inlineStr">
        <is>
          <t>DATA-04</t>
        </is>
      </c>
      <c r="B43" s="2" t="inlineStr">
        <is>
          <t>数据合规</t>
        </is>
      </c>
      <c r="C43" s="3" t="inlineStr">
        <is>
          <t>请提供网络安全、访问控制、日志、备份、事件响应与漏洞管理制度及事件记录。</t>
        </is>
      </c>
      <c r="D43" s="2" t="inlineStr">
        <is>
          <t>部分满足</t>
        </is>
      </c>
      <c r="E43" s="3" t="inlineStr">
        <is>
          <t>隐私政策与云账单显示存在境外区域部署（新加坡：应用日志、IP、账号标识符（含个人信息））。</t>
        </is>
      </c>
      <c r="F43" s="3" t="inlineStr">
        <is>
          <t>06_数据合规及业务资质__06.1_隐私政策与数据处理说明_2026｜正文</t>
        </is>
      </c>
      <c r="G43" s="3" t="inlineStr">
        <is>
          <t>数据出境合规材料（标准合同/评估）待提供。</t>
        </is>
      </c>
      <c r="H43" s="2" t="inlineStr">
        <is>
          <t>MEDIUM</t>
        </is>
      </c>
      <c r="I43" s="2" t="inlineStr">
        <is>
          <t>RFI</t>
        </is>
      </c>
      <c r="J43" s="3" t="inlineStr">
        <is>
          <t>澄清境外（新加坡）部署资源的数据属性与出境合规：列明跨境传输字段、接收方与目的，提供告知同意记录、与境外接收方签订的标准合同/安全评估及个人信息保护影响评估（PIA）文件。</t>
        </is>
      </c>
      <c r="K43" s="2" t="inlineStr">
        <is>
          <t>否</t>
        </is>
      </c>
      <c r="L43" s="2" t="inlineStr">
        <is>
          <t>F-08</t>
        </is>
      </c>
    </row>
    <row r="44">
      <c r="A44" s="2" t="inlineStr">
        <is>
          <t>DATA-05</t>
        </is>
      </c>
      <c r="B44" s="2" t="inlineStr">
        <is>
          <t>数据合规</t>
        </is>
      </c>
      <c r="C44" s="3" t="inlineStr">
        <is>
          <t>请提供个人信息保护影响评估、数据出境安全评估/标准合同/认证及申报或备案。</t>
        </is>
      </c>
      <c r="D44" s="2" t="inlineStr">
        <is>
          <t>部分满足</t>
        </is>
      </c>
      <c r="E44" s="3" t="inlineStr">
        <is>
          <t>隐私政策与云账单显示存在境外区域部署（新加坡：应用日志、IP、账号标识符（含个人信息））。</t>
        </is>
      </c>
      <c r="F44" s="3" t="inlineStr">
        <is>
          <t>06_数据合规及业务资质__06.1_隐私政策与数据处理说明_2026｜正文</t>
        </is>
      </c>
      <c r="G44" s="3" t="inlineStr">
        <is>
          <t>数据出境合规材料（标准合同/评估）待提供。；与CT-02矛盾相关（详见跨文件矛盾）</t>
        </is>
      </c>
      <c r="H44" s="2" t="inlineStr">
        <is>
          <t>MEDIUM</t>
        </is>
      </c>
      <c r="I44" s="2" t="inlineStr">
        <is>
          <t>RFI</t>
        </is>
      </c>
      <c r="J44" s="3" t="inlineStr">
        <is>
          <t>澄清境外（新加坡）部署资源的数据属性与出境合规：列明跨境传输字段、接收方与目的，提供告知同意记录、与境外接收方签订的标准合同/安全评估及个人信息保护影响评估（PIA）文件。</t>
        </is>
      </c>
      <c r="K44" s="2" t="inlineStr">
        <is>
          <t>否</t>
        </is>
      </c>
      <c r="L44" s="2" t="inlineStr">
        <is>
          <t>F-08</t>
        </is>
      </c>
    </row>
    <row r="45">
      <c r="A45" s="2" t="inlineStr">
        <is>
          <t>DATA-06</t>
        </is>
      </c>
      <c r="B45" s="2" t="inlineStr">
        <is>
          <t>数据合规</t>
        </is>
      </c>
      <c r="C45" s="3" t="inlineStr">
        <is>
          <t>请提供算法、模型、训练数据、生成式 AI 或深度合成产品说明、备案与内容治理制度。</t>
        </is>
      </c>
      <c r="D45" s="2" t="inlineStr">
        <is>
          <t>部分满足</t>
        </is>
      </c>
      <c r="E45" s="3" t="inlineStr">
        <is>
          <t>隐私政策与云账单显示存在境外区域部署（新加坡：应用日志、IP、账号标识符（含个人信息））。</t>
        </is>
      </c>
      <c r="F45" s="3" t="inlineStr">
        <is>
          <t>06_数据合规及业务资质__06.1_隐私政策与数据处理说明_2026｜正文</t>
        </is>
      </c>
      <c r="G45" s="3" t="inlineStr">
        <is>
          <t>数据出境合规材料（标准合同/评估）待提供。</t>
        </is>
      </c>
      <c r="H45" s="2" t="inlineStr">
        <is>
          <t>MEDIUM</t>
        </is>
      </c>
      <c r="I45" s="2" t="inlineStr">
        <is>
          <t>RFI</t>
        </is>
      </c>
      <c r="J45" s="3" t="inlineStr">
        <is>
          <t>澄清境外（新加坡）部署资源的数据属性与出境合规：列明跨境传输字段、接收方与目的，提供告知同意记录、与境外接收方签订的标准合同/安全评估及个人信息保护影响评估（PIA）文件。</t>
        </is>
      </c>
      <c r="K45" s="2" t="inlineStr">
        <is>
          <t>否</t>
        </is>
      </c>
      <c r="L45" s="2" t="inlineStr">
        <is>
          <t>F-08</t>
        </is>
      </c>
    </row>
    <row r="46">
      <c r="A46" s="2" t="inlineStr">
        <is>
          <t>REG-01</t>
        </is>
      </c>
      <c r="B46" s="2" t="inlineStr">
        <is>
          <t>业务资质</t>
        </is>
      </c>
      <c r="C46" s="3" t="inlineStr">
        <is>
          <t>请提供开展现行业务所需许可、备案、认证与行业资质清单及证照。</t>
        </is>
      </c>
      <c r="D46" s="2" t="inlineStr">
        <is>
          <t>部分满足</t>
        </is>
      </c>
      <c r="E46" s="3" t="inlineStr">
        <is>
          <t>业务许可证 B2-2020，载明有效期至 2025-12-31（已过期，仍经营SaaS）。</t>
        </is>
      </c>
      <c r="F46" s="3" t="inlineStr">
        <is>
          <t>06_数据合规及业务资质__06.3_业务许可证及认证汇编｜正文</t>
        </is>
      </c>
      <c r="G46" s="3" t="inlineStr">
        <is>
          <t>续期后许可证或受理文件待提供。</t>
        </is>
      </c>
      <c r="H46" s="2" t="inlineStr">
        <is>
          <t>HIGH</t>
        </is>
      </c>
      <c r="I46" s="2" t="inlineStr">
        <is>
          <t>CP</t>
        </is>
      </c>
      <c r="J46" s="3" t="inlineStr">
        <is>
          <t>取得增值电信许可证续期证明或评估无证经营影响。</t>
        </is>
      </c>
      <c r="K46" s="2" t="inlineStr">
        <is>
          <t>是</t>
        </is>
      </c>
      <c r="L46" s="2" t="inlineStr">
        <is>
          <t>F-06</t>
        </is>
      </c>
    </row>
    <row r="47">
      <c r="A47" s="2" t="inlineStr">
        <is>
          <t>REG-02</t>
        </is>
      </c>
      <c r="B47" s="2" t="inlineStr">
        <is>
          <t>业务资质</t>
        </is>
      </c>
      <c r="C47" s="3" t="inlineStr">
        <is>
          <t>请提供近三年行政处罚、检查、整改、约谈、投诉、信用异常与合规调查材料。</t>
        </is>
      </c>
      <c r="D47" s="2" t="inlineStr">
        <is>
          <t>部分满足</t>
        </is>
      </c>
      <c r="E47" s="3" t="inlineStr">
        <is>
          <t>业务许可证 B2-2020，载明有效期至 2025-12-31（已过期，仍经营SaaS）。</t>
        </is>
      </c>
      <c r="F47" s="3" t="inlineStr">
        <is>
          <t>06_数据合规及业务资质__06.3_业务许可证及认证汇编｜正文</t>
        </is>
      </c>
      <c r="G47" s="3" t="inlineStr">
        <is>
          <t>续期后许可证或受理文件待提供。</t>
        </is>
      </c>
      <c r="H47" s="2" t="inlineStr">
        <is>
          <t>HIGH</t>
        </is>
      </c>
      <c r="I47" s="2" t="inlineStr">
        <is>
          <t>CP</t>
        </is>
      </c>
      <c r="J47" s="3" t="inlineStr">
        <is>
          <t>取得增值电信许可证续期证明或评估无证经营影响。
提供近三年行政处罚/合规调查专项清单及出口管制/制裁筛查记录。</t>
        </is>
      </c>
      <c r="K47" s="2" t="inlineStr">
        <is>
          <t>是</t>
        </is>
      </c>
      <c r="L47" s="2" t="inlineStr">
        <is>
          <t>F-06、F-18</t>
        </is>
      </c>
    </row>
    <row r="48">
      <c r="A48" s="2" t="inlineStr">
        <is>
          <t>REG-03</t>
        </is>
      </c>
      <c r="B48" s="2" t="inlineStr">
        <is>
          <t>业务资质</t>
        </is>
      </c>
      <c r="C48" s="3" t="inlineStr">
        <is>
          <t>请提供反商业贿赂、出口管制、制裁、反洗钱、举报与商业伙伴合规制度及培训记录。</t>
        </is>
      </c>
      <c r="D48" s="2" t="inlineStr">
        <is>
          <t>部分满足</t>
        </is>
      </c>
      <c r="E48" s="3" t="inlineStr">
        <is>
          <t>业务许可证 B2-2020，载明有效期至 2025-12-31（已过期，仍经营SaaS）。</t>
        </is>
      </c>
      <c r="F48" s="3" t="inlineStr">
        <is>
          <t>06_数据合规及业务资质__06.3_业务许可证及认证汇编｜正文</t>
        </is>
      </c>
      <c r="G48" s="3" t="inlineStr">
        <is>
          <t>续期后许可证或受理文件待提供。</t>
        </is>
      </c>
      <c r="H48" s="2" t="inlineStr">
        <is>
          <t>HIGH</t>
        </is>
      </c>
      <c r="I48" s="2" t="inlineStr">
        <is>
          <t>CP</t>
        </is>
      </c>
      <c r="J48" s="3" t="inlineStr">
        <is>
          <t>取得增值电信许可证续期证明或评估无证经营影响。
提供近三年行政处罚/合规调查专项清单及出口管制/制裁筛查记录。</t>
        </is>
      </c>
      <c r="K48" s="2" t="inlineStr">
        <is>
          <t>是</t>
        </is>
      </c>
      <c r="L48" s="2" t="inlineStr">
        <is>
          <t>F-06、F-18</t>
        </is>
      </c>
    </row>
    <row r="49">
      <c r="A49" s="2" t="inlineStr">
        <is>
          <t>DISP-01</t>
        </is>
      </c>
      <c r="B49" s="2" t="inlineStr">
        <is>
          <t>争议债务</t>
        </is>
      </c>
      <c r="C49" s="3" t="inlineStr">
        <is>
          <t>请提供现存及近三年诉讼、仲裁、执行、行政复议、索赔、律师函与潜在争议清单。</t>
        </is>
      </c>
      <c r="D49" s="2" t="inlineStr">
        <is>
          <t>资料冲突</t>
        </is>
      </c>
      <c r="E49" s="3" t="inlineStr">
        <is>
          <t>以下合同的争议/索赔见于合同台账或律师函，但未列入07.1诉讼仲裁及或有负债清单：C-03（供应商丙科技有限公司，逾期付款，存在争议）。可能低估或有负债。</t>
        </is>
      </c>
      <c r="F49" s="3" t="inlineStr">
        <is>
          <t>03_重大合同及融资__03.1_重大合同台账_20260712
07_争议债务及保险__07.3_供应商索赔律师函_20260618
07_争议债务及保险__07.1_诉讼仲裁及或有负债清单_202607</t>
        </is>
      </c>
      <c r="G49" s="3" t="inlineStr">
        <is>
          <t>统一并更正多源不一致文件，作为交易先决。</t>
        </is>
      </c>
      <c r="H49" s="2" t="inlineStr">
        <is>
          <t>HIGH</t>
        </is>
      </c>
      <c r="I49" s="2" t="inlineStr">
        <is>
          <t>INDEMNITY</t>
        </is>
      </c>
      <c r="J49" s="3" t="inlineStr">
        <is>
          <t>将遗漏索赔补入争议/或有负债清单并说明原因，纳入赔偿事项。</t>
        </is>
      </c>
      <c r="K49" s="2" t="inlineStr">
        <is>
          <t>是</t>
        </is>
      </c>
      <c r="L49" s="2" t="inlineStr">
        <is>
          <t>F-09</t>
        </is>
      </c>
    </row>
    <row r="50">
      <c r="A50" s="2" t="inlineStr">
        <is>
          <t>DISP-02</t>
        </is>
      </c>
      <c r="B50" s="2" t="inlineStr">
        <is>
          <t>争议债务</t>
        </is>
      </c>
      <c r="C50" s="3" t="inlineStr">
        <is>
          <t>请提供重大应收应付、逾期债务、对外承诺、或有负债、资产负担与表外安排清单。</t>
        </is>
      </c>
      <c r="D50" s="2" t="inlineStr">
        <is>
          <t>部分满足</t>
        </is>
      </c>
      <c r="E50" s="3" t="inlineStr">
        <is>
          <t>争议清单 2 项、或有负债 2 项。</t>
        </is>
      </c>
      <c r="F50" s="3" t="inlineStr">
        <is>
          <t>07_争议债务及保险__07.1_诉讼仲裁及或有负债清单_202607｜正文</t>
        </is>
      </c>
      <c r="G50" s="3" t="inlineStr">
        <is>
          <t>保险单与续保记录待提供（DISP-03）。；与CT-03矛盾相关（详见跨文件矛盾）</t>
        </is>
      </c>
      <c r="H50" s="2" t="inlineStr">
        <is>
          <t>HIGH</t>
        </is>
      </c>
      <c r="I50" s="2" t="inlineStr">
        <is>
          <t>INDEMNITY</t>
        </is>
      </c>
      <c r="J50" s="3" t="inlineStr">
        <is>
          <t>将遗漏索赔补入争议/或有负债清单并说明原因，纳入赔偿事项。</t>
        </is>
      </c>
      <c r="K50" s="2" t="inlineStr">
        <is>
          <t>是</t>
        </is>
      </c>
      <c r="L50" s="2" t="inlineStr">
        <is>
          <t>F-09</t>
        </is>
      </c>
    </row>
    <row r="51">
      <c r="A51" s="2" t="inlineStr">
        <is>
          <t>DISP-03</t>
        </is>
      </c>
      <c r="B51" s="2" t="inlineStr">
        <is>
          <t>争议债务</t>
        </is>
      </c>
      <c r="C51" s="3" t="inlineStr">
        <is>
          <t>请提供现行保险单、保额、免赔额、除外责任、理赔与续保记录。</t>
        </is>
      </c>
      <c r="D51" s="2" t="inlineStr">
        <is>
          <t>未满足</t>
        </is>
      </c>
      <c r="E51" s="3" t="inlineStr">
        <is>
          <t>未提供对应资料（VDR：—）。</t>
        </is>
      </c>
      <c r="F51" s="3" t="inlineStr">
        <is>
          <t>未发现可支持资料（VDR：—）</t>
        </is>
      </c>
      <c r="G51" s="3" t="inlineStr">
        <is>
          <t>补充对应文件或说明。</t>
        </is>
      </c>
      <c r="H51" s="2" t="inlineStr">
        <is>
          <t>MEDIUM</t>
        </is>
      </c>
      <c r="I51" s="2" t="inlineStr">
        <is>
          <t>INDEMNITY</t>
        </is>
      </c>
      <c r="J51" s="3" t="inlineStr">
        <is>
          <t>将遗漏索赔补入争议/或有负债清单并说明原因，纳入赔偿事项。
提供财产/责任/董责等保险单与续保记录。</t>
        </is>
      </c>
      <c r="K51" s="2" t="inlineStr">
        <is>
          <t>否</t>
        </is>
      </c>
      <c r="L51" s="2" t="inlineStr">
        <is>
          <t>F-09、F-15</t>
        </is>
      </c>
    </row>
    <row r="52">
      <c r="A52" s="2" t="inlineStr">
        <is>
          <t>PROP-01</t>
        </is>
      </c>
      <c r="B52" s="2" t="inlineStr">
        <is>
          <t>物业资产</t>
        </is>
      </c>
      <c r="C52" s="3" t="inlineStr">
        <is>
          <t>请提供自有及租赁物业清单、权属证书、租赁/转租协议、备案、用途与续租安排。</t>
        </is>
      </c>
      <c r="D52" s="2" t="inlineStr">
        <is>
          <t>已满足</t>
        </is>
      </c>
      <c r="E52" s="3" t="inlineStr">
        <is>
          <t>已提供相关资料（08.1、03.1 ）。</t>
        </is>
      </c>
      <c r="F52" s="3" t="inlineStr">
        <is>
          <t>08_物业及其他__08.1_研发场地租赁合同及补充协议｜正文</t>
        </is>
      </c>
      <c r="G52" s="3" t="inlineStr">
        <is>
          <t>按清单要求补充其余子项（如适用）。</t>
        </is>
      </c>
      <c r="H52" s="2" t="inlineStr">
        <is>
          <t>LOW</t>
        </is>
      </c>
      <c r="I52" s="2" t="inlineStr">
        <is>
          <t>COVENANT</t>
        </is>
      </c>
      <c r="J52" s="3" t="inlineStr">
        <is>
          <t>就控制权变更取得核心客户、贷款人与出租方确认或豁免，纳入交易承诺。
提供研发场地续租协议或出租方控制权变更同意文件。</t>
        </is>
      </c>
      <c r="K52" s="2" t="inlineStr">
        <is>
          <t>否</t>
        </is>
      </c>
      <c r="L52" s="2" t="inlineStr">
        <is>
          <t>F-05、F-16</t>
        </is>
      </c>
    </row>
    <row r="53">
      <c r="A53" s="2" t="inlineStr">
        <is>
          <t>PROP-02</t>
        </is>
      </c>
      <c r="B53" s="2" t="inlineStr">
        <is>
          <t>物业资产</t>
        </is>
      </c>
      <c r="C53" s="3" t="inlineStr">
        <is>
          <t>请提供重大设备、车辆与其他固定资产清单及权属、融资、抵押、查封材料。</t>
        </is>
      </c>
      <c r="D53" s="2" t="inlineStr">
        <is>
          <t>未满足</t>
        </is>
      </c>
      <c r="E53" s="3" t="inlineStr">
        <is>
          <t>未提供对应资料（VDR：—）。</t>
        </is>
      </c>
      <c r="F53" s="3" t="inlineStr">
        <is>
          <t>未发现可支持资料（VDR：—）</t>
        </is>
      </c>
      <c r="G53" s="3" t="inlineStr">
        <is>
          <t>补充对应文件或说明。</t>
        </is>
      </c>
      <c r="H53" s="2" t="inlineStr">
        <is>
          <t>MEDIUM</t>
        </is>
      </c>
      <c r="I53" s="2" t="inlineStr">
        <is>
          <t>COVENANT</t>
        </is>
      </c>
      <c r="J53" s="3" t="inlineStr">
        <is>
          <t>提供重大设备/固定资产清单及权属/抵押/查封核查。</t>
        </is>
      </c>
      <c r="K53" s="2" t="inlineStr">
        <is>
          <t>否</t>
        </is>
      </c>
      <c r="L53" s="2" t="inlineStr">
        <is>
          <t>F-17</t>
        </is>
      </c>
    </row>
  </sheetData>
  <autoFilter ref="A1:L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40" customWidth="1" min="3" max="3"/>
  </cols>
  <sheetData>
    <row r="1">
      <c r="A1" s="1" t="inlineStr">
        <is>
          <t>被引用文件</t>
        </is>
      </c>
      <c r="B1" s="1" t="inlineStr">
        <is>
          <t>精确定位（章节/工作表/单元格/页码）</t>
        </is>
      </c>
      <c r="C1" s="1" t="inlineStr">
        <is>
          <t>关联清单编号</t>
        </is>
      </c>
    </row>
    <row r="2">
      <c r="A2" s="3" t="inlineStr">
        <is>
          <t>01_主体资格及历史沿革__01.1_登记事项及关键变更档案_20260710</t>
        </is>
      </c>
      <c r="B2" s="3" t="inlineStr">
        <is>
          <t>正文</t>
        </is>
      </c>
      <c r="C2" s="3" t="inlineStr">
        <is>
          <t>CORP-01、CORP-02、CORP-03、CORP-04、CORP-05、CORP-06、CORP-07、CAP-01、DISP-03、PROP-02</t>
        </is>
      </c>
    </row>
    <row r="3">
      <c r="A3" s="3" t="inlineStr">
        <is>
          <t>01_主体资格及历史沿革__01.2_公司章程_202409修订_签署版</t>
        </is>
      </c>
      <c r="B3" s="3" t="inlineStr"/>
      <c r="C3" s="3" t="inlineStr">
        <is>
          <t>CAP-01、DISP-03、PROP-02</t>
        </is>
      </c>
    </row>
    <row r="4">
      <c r="A4" s="3" t="inlineStr">
        <is>
          <t>02_股权及公司治理__02.1_股权结构及历次变动台账_20260712</t>
        </is>
      </c>
      <c r="B4" s="3" t="inlineStr">
        <is>
          <t>正文</t>
        </is>
      </c>
      <c r="C4" s="3" t="inlineStr">
        <is>
          <t>CAP-01、CAP-02、CAP-03、CAP-04、CAP-05、CAP-06、DISP-03、PROP-02</t>
        </is>
      </c>
    </row>
    <row r="5">
      <c r="A5" s="3" t="inlineStr">
        <is>
          <t>02_股权及公司治理__02.3_2024股权转让及决议文件汇编</t>
        </is>
      </c>
      <c r="B5" s="3" t="inlineStr"/>
      <c r="C5" s="3" t="inlineStr">
        <is>
          <t>CAP-01、DISP-03、PROP-02</t>
        </is>
      </c>
    </row>
    <row r="6">
      <c r="A6" s="3" t="inlineStr">
        <is>
          <t>02_股权及公司治理__02.4_治理决议汇编_2024-2026</t>
        </is>
      </c>
      <c r="B6" s="3" t="inlineStr">
        <is>
          <t>正文</t>
        </is>
      </c>
      <c r="C6" s="3" t="inlineStr">
        <is>
          <t>GOV-01、GOV-02、GOV-03、GOV-04、GOV-05、DISP-03、PROP-02</t>
        </is>
      </c>
    </row>
    <row r="7">
      <c r="A7" s="3" t="inlineStr">
        <is>
          <t>03_重大合同及融资__03.1_重大合同台账_20260712</t>
        </is>
      </c>
      <c r="B7" s="3" t="inlineStr">
        <is>
          <t>正文</t>
        </is>
      </c>
      <c r="C7" s="3" t="inlineStr">
        <is>
          <t>CON-01、CON-02、CON-03、CON-04、CON-05、CON-06、CON-07、CON-08、DISP-01、DISP-03、PROP-02</t>
        </is>
      </c>
    </row>
    <row r="8">
      <c r="A8" s="3" t="inlineStr">
        <is>
          <t>04_知识产权及信息技术__04.1_知识产权清单_202607</t>
        </is>
      </c>
      <c r="B8" s="3" t="inlineStr">
        <is>
          <t>正文</t>
        </is>
      </c>
      <c r="C8" s="3" t="inlineStr">
        <is>
          <t>IP-01、IP-02、IP-03、IP-04、IP-05、IP-06、IP-07、DISP-03、PROP-02</t>
        </is>
      </c>
    </row>
    <row r="9">
      <c r="A9" s="3" t="inlineStr">
        <is>
          <t>05_劳动人事__05.1_员工名册及社保情况_202606</t>
        </is>
      </c>
      <c r="B9" s="3" t="inlineStr">
        <is>
          <t>正文</t>
        </is>
      </c>
      <c r="C9" s="3" t="inlineStr">
        <is>
          <t>HR-01、HR-02、HR-03、HR-04、HR-05、DISP-03、PROP-02</t>
        </is>
      </c>
    </row>
    <row r="10">
      <c r="A10" s="3" t="inlineStr">
        <is>
          <t>06_数据合规及业务资质__06.1_隐私政策与数据处理说明_2026</t>
        </is>
      </c>
      <c r="B10" s="3" t="inlineStr">
        <is>
          <t>正文</t>
        </is>
      </c>
      <c r="C10" s="3" t="inlineStr">
        <is>
          <t>DATA-01、DATA-02、DATA-03、DATA-04、DATA-05、DATA-06、DISP-03、PROP-02</t>
        </is>
      </c>
    </row>
    <row r="11">
      <c r="A11" s="3" t="inlineStr">
        <is>
          <t>06_数据合规及业务资质__06.2_云服务账单及资源区域_202601-06</t>
        </is>
      </c>
      <c r="B11" s="3" t="inlineStr"/>
      <c r="C11" s="3" t="inlineStr">
        <is>
          <t>DATA-03、DISP-03、PROP-02</t>
        </is>
      </c>
    </row>
    <row r="12">
      <c r="A12" s="3" t="inlineStr">
        <is>
          <t>06_数据合规及业务资质__06.3_业务许可证及认证汇编</t>
        </is>
      </c>
      <c r="B12" s="3" t="inlineStr">
        <is>
          <t>正文</t>
        </is>
      </c>
      <c r="C12" s="3" t="inlineStr">
        <is>
          <t>REG-01、REG-02、REG-03、DISP-03、PROP-02</t>
        </is>
      </c>
    </row>
    <row r="13">
      <c r="A13" s="3" t="inlineStr">
        <is>
          <t>07_争议债务及保险__07.3_供应商索赔律师函_20260618</t>
        </is>
      </c>
      <c r="B13" s="3" t="inlineStr"/>
      <c r="C13" s="3" t="inlineStr">
        <is>
          <t>DISP-01、DISP-03、PROP-02</t>
        </is>
      </c>
    </row>
    <row r="14">
      <c r="A14" s="3" t="inlineStr">
        <is>
          <t>07_争议债务及保险__07.1_诉讼仲裁及或有负债清单_202607</t>
        </is>
      </c>
      <c r="B14" s="3" t="inlineStr">
        <is>
          <t>正文</t>
        </is>
      </c>
      <c r="C14" s="3" t="inlineStr">
        <is>
          <t>DISP-01、DISP-02、DISP-03、PROP-02</t>
        </is>
      </c>
    </row>
    <row r="15">
      <c r="A15" s="3" t="inlineStr">
        <is>
          <t>（无）</t>
        </is>
      </c>
      <c r="B15" s="3" t="inlineStr"/>
      <c r="C15" s="3" t="inlineStr">
        <is>
          <t>DISP-03、PROP-02</t>
        </is>
      </c>
    </row>
    <row r="16">
      <c r="A16" s="3" t="inlineStr">
        <is>
          <t>08_物业及其他__08.1_研发场地租赁合同及补充协议</t>
        </is>
      </c>
      <c r="B16" s="3" t="inlineStr">
        <is>
          <t>正文</t>
        </is>
      </c>
      <c r="C16" s="3" t="inlineStr">
        <is>
          <t>DISP-03、PROP-01、PROP-02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4" customWidth="1" min="3" max="3"/>
    <col width="44" customWidth="1" min="4" max="4"/>
    <col width="18" customWidth="1" min="5" max="5"/>
    <col width="60" customWidth="1" min="6" max="6"/>
    <col width="46" customWidth="1" min="7" max="7"/>
  </cols>
  <sheetData>
    <row r="1">
      <c r="A1" s="1" t="inlineStr">
        <is>
          <t>矛盾编号</t>
        </is>
      </c>
      <c r="B1" s="1" t="inlineStr">
        <is>
          <t>严重度</t>
        </is>
      </c>
      <c r="C1" s="1" t="inlineStr">
        <is>
          <t>矛盾主题</t>
        </is>
      </c>
      <c r="D1" s="1" t="inlineStr">
        <is>
          <t>冲突文件</t>
        </is>
      </c>
      <c r="E1" s="1" t="inlineStr">
        <is>
          <t>关联清单编号</t>
        </is>
      </c>
      <c r="F1" s="1" t="inlineStr">
        <is>
          <t>矛盾说明</t>
        </is>
      </c>
      <c r="G1" s="1" t="inlineStr">
        <is>
          <t>建议处置</t>
        </is>
      </c>
    </row>
    <row r="2">
      <c r="A2" s="2" t="inlineStr">
        <is>
          <t>CT-01</t>
        </is>
      </c>
      <c r="B2" s="2" t="inlineStr">
        <is>
          <t>HIGH</t>
        </is>
      </c>
      <c r="C2" s="3" t="inlineStr">
        <is>
          <t>股权结构多源比例不一致</t>
        </is>
      </c>
      <c r="D2" s="3" t="inlineStr">
        <is>
          <t>01_主体资格及历史沿革__01.1_登记事项及关键变更档案_20260710
01_主体资格及历史沿革__01.2_公司章程_202409修订_签署版
02_股权及公司治理__02.1_股权结构及历次变动台账_20260712
02_股权及公司治理__02.3_2024股权转让及决议文件汇编</t>
        </is>
      </c>
      <c r="E2" s="2" t="inlineStr">
        <is>
          <t>CAP-01、CORP-03、CAP-04、CAP-05</t>
        </is>
      </c>
      <c r="F2" s="3" t="inlineStr">
        <is>
          <t>云栖智联员工持股平台（有限合伙）：比例在文件中记载不一（8%/10%/22%/33%/45%，见 01_主体资格及历史沿革__01.1_登记事项及关键变更档案_20260710、01_主体资格及历史沿革__01.2_公司章程_202409修订_签署版、02_股权及公司治理__02.1_股权结构及历次变动台账_20260712、02_股权及公司治理__02.3_2024股权转让及决议文件汇编）。该冲突直接影响收购基准股权表与本次交易对价，并可能触发历史转让协议效力与税务复核。</t>
        </is>
      </c>
      <c r="G2" s="3" t="inlineStr">
        <is>
          <t>以登记机关备案文本统一股权比例，由转让方提供更正说明、历史转让对价支付凭证及出资期限说明，并作为交易先决条件（F-01）。</t>
        </is>
      </c>
    </row>
    <row r="3">
      <c r="A3" s="2" t="inlineStr">
        <is>
          <t>CT-02</t>
        </is>
      </c>
      <c r="B3" s="2" t="inlineStr">
        <is>
          <t>HIGH</t>
        </is>
      </c>
      <c r="C3" s="3" t="inlineStr">
        <is>
          <t>数据跨境表述与云架构实际部署不一致</t>
        </is>
      </c>
      <c r="D3" s="3" t="inlineStr">
        <is>
          <t>06_数据合规及业务资质__06.1_隐私政策与数据处理说明_2026
06_数据合规及业务资质__06.2_云服务账单及资源区域_202601-06</t>
        </is>
      </c>
      <c r="E3" s="2" t="inlineStr">
        <is>
          <t>DATA-03、DATA-05</t>
        </is>
      </c>
      <c r="F3" s="3" t="inlineStr">
        <is>
          <t>隐私政策称无客户生产数据出境、海外仅测试/演示数据，但云账单显示境外区域（新加坡）部署含个人信息与账号标识符：prod-obs（新加坡，应用日志、IP、账号标识符（含个人信息））；sales-demo（新加坡，合成测试数据）。表述与部署互相矛盾，须核实是否落入《个人信息保护法》出境规制。</t>
        </is>
      </c>
      <c r="G3" s="3" t="inlineStr">
        <is>
          <t>要求目标公司澄清上述境外资源的数据属性（是否含个人信息/重要数据）、接收方与传输目的，补充跨境传输字段清单、告知同意记录、与境外接收方签订的标准合同/安全评估及个人信息保护影响评估（PIA）文件，作为事实问询并纳入陈述保证（F-08）。</t>
        </is>
      </c>
    </row>
    <row r="4">
      <c r="A4" s="2" t="inlineStr">
        <is>
          <t>CT-03</t>
        </is>
      </c>
      <c r="B4" s="2" t="inlineStr">
        <is>
          <t>HIGH</t>
        </is>
      </c>
      <c r="C4" s="3" t="inlineStr">
        <is>
          <t>重大索赔/争议未纳入争议与或有负债清单</t>
        </is>
      </c>
      <c r="D4" s="3" t="inlineStr">
        <is>
          <t>03_重大合同及融资__03.1_重大合同台账_20260712
07_争议债务及保险__07.3_供应商索赔律师函_20260618
07_争议债务及保险__07.1_诉讼仲裁及或有负债清单_202607</t>
        </is>
      </c>
      <c r="E4" s="2" t="inlineStr">
        <is>
          <t>DISP-01、DISP-02、CON-08</t>
        </is>
      </c>
      <c r="F4" s="3" t="inlineStr">
        <is>
          <t>以下合同的争议/索赔见于合同台账或律师函，但未列入07.1诉讼仲裁及或有负债清单：C-03（供应商丙科技有限公司，逾期付款，存在争议）。可能低估或有负债。</t>
        </is>
      </c>
      <c r="G4" s="3" t="inlineStr">
        <is>
          <t>将遗漏索赔补入争议/或有负债清单并说明原因，纳入赔偿（indemnity）事项（F-09）。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</cols>
  <sheetData>
    <row r="1">
      <c r="A1" s="4" t="inlineStr">
        <is>
          <t>云栖智联科技股份有限公司｜法律尽职调查第一轮资料核验统计摘要</t>
        </is>
      </c>
    </row>
    <row r="3">
      <c r="A3" s="5" t="inlineStr">
        <is>
          <t>一、按核验状态</t>
        </is>
      </c>
    </row>
    <row r="4">
      <c r="A4" s="1" t="inlineStr">
        <is>
          <t>核验状态</t>
        </is>
      </c>
      <c r="B4" s="1" t="inlineStr">
        <is>
          <t>公式计数</t>
        </is>
      </c>
      <c r="C4" s="1" t="inlineStr">
        <is>
          <t>Python校验值</t>
        </is>
      </c>
    </row>
    <row r="5">
      <c r="A5" s="2" t="inlineStr">
        <is>
          <t>已满足</t>
        </is>
      </c>
      <c r="B5" s="2">
        <f>COUNTIF(核验总表!D:D,"已满足")</f>
        <v/>
      </c>
      <c r="C5" s="2" t="n">
        <v>12</v>
      </c>
    </row>
    <row r="6">
      <c r="A6" s="2" t="inlineStr">
        <is>
          <t>部分满足</t>
        </is>
      </c>
      <c r="B6" s="2">
        <f>COUNTIF(核验总表!D:D,"部分满足")</f>
        <v/>
      </c>
      <c r="C6" s="2" t="n">
        <v>35</v>
      </c>
    </row>
    <row r="7">
      <c r="A7" s="2" t="inlineStr">
        <is>
          <t>未满足</t>
        </is>
      </c>
      <c r="B7" s="2">
        <f>COUNTIF(核验总表!D:D,"未满足")</f>
        <v/>
      </c>
      <c r="C7" s="2" t="n">
        <v>2</v>
      </c>
    </row>
    <row r="8">
      <c r="A8" s="2" t="inlineStr">
        <is>
          <t>不适用</t>
        </is>
      </c>
      <c r="B8" s="2">
        <f>COUNTIF(核验总表!D:D,"不适用")</f>
        <v/>
      </c>
      <c r="C8" s="2" t="n">
        <v>0</v>
      </c>
    </row>
    <row r="9">
      <c r="A9" s="2" t="inlineStr">
        <is>
          <t>待确认</t>
        </is>
      </c>
      <c r="B9" s="2">
        <f>COUNTIF(核验总表!D:D,"待确认")</f>
        <v/>
      </c>
      <c r="C9" s="2" t="n">
        <v>0</v>
      </c>
    </row>
    <row r="10">
      <c r="A10" s="2" t="inlineStr">
        <is>
          <t>资料冲突</t>
        </is>
      </c>
      <c r="B10" s="2">
        <f>COUNTIF(核验总表!D:D,"资料冲突")</f>
        <v/>
      </c>
      <c r="C10" s="2" t="n">
        <v>3</v>
      </c>
    </row>
    <row r="11">
      <c r="A11" s="6" t="inlineStr">
        <is>
          <t>合计</t>
        </is>
      </c>
      <c r="B11" s="2" t="n"/>
      <c r="C11" s="2" t="n">
        <v>52</v>
      </c>
    </row>
    <row r="12">
      <c r="A12" s="2" t="n"/>
      <c r="B12" s="2" t="n"/>
      <c r="C12" s="2" t="n"/>
    </row>
    <row r="13">
      <c r="A13" s="6" t="inlineStr">
        <is>
          <t>二、按风险等级</t>
        </is>
      </c>
      <c r="B13" s="2" t="n"/>
      <c r="C13" s="2" t="n"/>
    </row>
    <row r="14">
      <c r="A14" s="1" t="inlineStr">
        <is>
          <t>风险等级</t>
        </is>
      </c>
      <c r="B14" s="1" t="inlineStr">
        <is>
          <t>公式计数</t>
        </is>
      </c>
      <c r="C14" s="1" t="inlineStr">
        <is>
          <t>Python校验值</t>
        </is>
      </c>
    </row>
    <row r="15">
      <c r="A15" s="2" t="inlineStr">
        <is>
          <t>HIGH</t>
        </is>
      </c>
      <c r="B15" s="2">
        <f>COUNTIF(核验总表!H:H,"HIGH")</f>
        <v/>
      </c>
      <c r="C15" s="2" t="n">
        <v>32</v>
      </c>
    </row>
    <row r="16">
      <c r="A16" s="2" t="inlineStr">
        <is>
          <t>MEDIUM</t>
        </is>
      </c>
      <c r="B16" s="2">
        <f>COUNTIF(核验总表!H:H,"MEDIUM")</f>
        <v/>
      </c>
      <c r="C16" s="2" t="n">
        <v>8</v>
      </c>
    </row>
    <row r="17">
      <c r="A17" s="2" t="inlineStr">
        <is>
          <t>LOW</t>
        </is>
      </c>
      <c r="B17" s="2">
        <f>COUNTIF(核验总表!H:H,"LOW")</f>
        <v/>
      </c>
      <c r="C17" s="2" t="n">
        <v>12</v>
      </c>
    </row>
    <row r="18">
      <c r="A18" s="2" t="inlineStr">
        <is>
          <t>INFO</t>
        </is>
      </c>
      <c r="B18" s="2">
        <f>COUNTIF(核验总表!H:H,"INFO")</f>
        <v/>
      </c>
      <c r="C18" s="2" t="n">
        <v>0</v>
      </c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6" t="inlineStr">
        <is>
          <t>三、按处置类型</t>
        </is>
      </c>
      <c r="B21" s="2" t="n"/>
      <c r="C21" s="2" t="n"/>
    </row>
    <row r="22">
      <c r="A22" s="1" t="inlineStr">
        <is>
          <t>处置类型</t>
        </is>
      </c>
      <c r="B22" s="1" t="inlineStr">
        <is>
          <t>公式计数</t>
        </is>
      </c>
      <c r="C22" s="1" t="inlineStr">
        <is>
          <t>Python校验值</t>
        </is>
      </c>
    </row>
    <row r="23">
      <c r="A23" s="2" t="inlineStr">
        <is>
          <t>CP</t>
        </is>
      </c>
      <c r="B23" s="2">
        <f>COUNTIF(核验总表!I:I,"CP")</f>
        <v/>
      </c>
      <c r="C23" s="2" t="n">
        <v>26</v>
      </c>
    </row>
    <row r="24">
      <c r="A24" s="2" t="inlineStr">
        <is>
          <t>COVENANT</t>
        </is>
      </c>
      <c r="B24" s="2">
        <f>COUNTIF(核验总表!I:I,"COVENANT")</f>
        <v/>
      </c>
      <c r="C24" s="2" t="n">
        <v>10</v>
      </c>
    </row>
    <row r="25">
      <c r="A25" s="2" t="inlineStr">
        <is>
          <t>INDEMNITY</t>
        </is>
      </c>
      <c r="B25" s="2">
        <f>COUNTIF(核验总表!I:I,"INDEMNITY")</f>
        <v/>
      </c>
      <c r="C25" s="2" t="n">
        <v>3</v>
      </c>
    </row>
    <row r="26">
      <c r="A26" s="2" t="inlineStr">
        <is>
          <t>PRICE</t>
        </is>
      </c>
      <c r="B26" s="2">
        <f>COUNTIF(核验总表!I:I,"PRICE")</f>
        <v/>
      </c>
      <c r="C26" s="2" t="n">
        <v>0</v>
      </c>
    </row>
    <row r="27">
      <c r="A27" s="2" t="inlineStr">
        <is>
          <t>RFI</t>
        </is>
      </c>
      <c r="B27" s="2">
        <f>COUNTIF(核验总表!I:I,"RFI")</f>
        <v/>
      </c>
      <c r="C27" s="2" t="n">
        <v>13</v>
      </c>
    </row>
    <row r="28">
      <c r="A28" s="2" t="inlineStr">
        <is>
          <t>MONITOR</t>
        </is>
      </c>
      <c r="B28" s="2">
        <f>COUNTIF(核验总表!I:I,"MONITOR")</f>
        <v/>
      </c>
      <c r="C28" s="2" t="n">
        <v>0</v>
      </c>
    </row>
    <row r="29">
      <c r="A29" s="2" t="inlineStr">
        <is>
          <t>NONE</t>
        </is>
      </c>
      <c r="B29" s="2">
        <f>COUNTIF(核验总表!I:I,"NONE")</f>
        <v/>
      </c>
      <c r="C29" s="2" t="n">
        <v>0</v>
      </c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6" t="inlineStr">
        <is>
          <t>四、按领域</t>
        </is>
      </c>
      <c r="B32" s="2" t="n"/>
      <c r="C32" s="2" t="n"/>
    </row>
    <row r="33">
      <c r="A33" s="1" t="inlineStr">
        <is>
          <t>领域</t>
        </is>
      </c>
      <c r="B33" s="1" t="inlineStr">
        <is>
          <t>公式计数</t>
        </is>
      </c>
      <c r="C33" s="1" t="inlineStr">
        <is>
          <t>Python校验值</t>
        </is>
      </c>
    </row>
    <row r="34">
      <c r="A34" s="2" t="inlineStr">
        <is>
          <t>主体资格</t>
        </is>
      </c>
      <c r="B34" s="2">
        <f>COUNTIF(核验总表!B:B,"主体资格")</f>
        <v/>
      </c>
      <c r="C34" s="2" t="n">
        <v>7</v>
      </c>
    </row>
    <row r="35">
      <c r="A35" s="2" t="inlineStr">
        <is>
          <t>股权出资</t>
        </is>
      </c>
      <c r="B35" s="2">
        <f>COUNTIF(核验总表!B:B,"股权出资")</f>
        <v/>
      </c>
      <c r="C35" s="2" t="n">
        <v>6</v>
      </c>
    </row>
    <row r="36">
      <c r="A36" s="2" t="inlineStr">
        <is>
          <t>公司治理</t>
        </is>
      </c>
      <c r="B36" s="2">
        <f>COUNTIF(核验总表!B:B,"公司治理")</f>
        <v/>
      </c>
      <c r="C36" s="2" t="n">
        <v>5</v>
      </c>
    </row>
    <row r="37">
      <c r="A37" s="2" t="inlineStr">
        <is>
          <t>重大合同</t>
        </is>
      </c>
      <c r="B37" s="2">
        <f>COUNTIF(核验总表!B:B,"重大合同")</f>
        <v/>
      </c>
      <c r="C37" s="2" t="n">
        <v>8</v>
      </c>
    </row>
    <row r="38">
      <c r="A38" s="2" t="inlineStr">
        <is>
          <t>知识产权</t>
        </is>
      </c>
      <c r="B38" s="2">
        <f>COUNTIF(核验总表!B:B,"知识产权")</f>
        <v/>
      </c>
      <c r="C38" s="2" t="n">
        <v>7</v>
      </c>
    </row>
    <row r="39">
      <c r="A39" s="2" t="inlineStr">
        <is>
          <t>劳动人事</t>
        </is>
      </c>
      <c r="B39" s="2">
        <f>COUNTIF(核验总表!B:B,"劳动人事")</f>
        <v/>
      </c>
      <c r="C39" s="2" t="n">
        <v>5</v>
      </c>
    </row>
    <row r="40">
      <c r="A40" s="2" t="inlineStr">
        <is>
          <t>数据合规</t>
        </is>
      </c>
      <c r="B40" s="2">
        <f>COUNTIF(核验总表!B:B,"数据合规")</f>
        <v/>
      </c>
      <c r="C40" s="2" t="n">
        <v>6</v>
      </c>
    </row>
    <row r="41">
      <c r="A41" s="2" t="inlineStr">
        <is>
          <t>业务资质</t>
        </is>
      </c>
      <c r="B41" s="2">
        <f>COUNTIF(核验总表!B:B,"业务资质")</f>
        <v/>
      </c>
      <c r="C41" s="2" t="n">
        <v>3</v>
      </c>
    </row>
    <row r="42">
      <c r="A42" s="2" t="inlineStr">
        <is>
          <t>争议债务</t>
        </is>
      </c>
      <c r="B42" s="2">
        <f>COUNTIF(核验总表!B:B,"争议债务")</f>
        <v/>
      </c>
      <c r="C42" s="2" t="n">
        <v>3</v>
      </c>
    </row>
    <row r="43">
      <c r="A43" s="2" t="inlineStr">
        <is>
          <t>物业资产</t>
        </is>
      </c>
      <c r="B43" s="2">
        <f>COUNTIF(核验总表!B:B,"物业资产")</f>
        <v/>
      </c>
      <c r="C43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2026-08-31T15:22:15Z</dcterms:created>
  <dcterms:modified xmlns:dcterms="http://purl.org/dc/terms/" xmlns:xsi="http://www.w3.org/2001/XMLSchema-instance" xsi:type="dcterms:W3CDTF">2026-08-31T15:22:15Z</dcterms:modified>
</cp:coreProperties>
</file>